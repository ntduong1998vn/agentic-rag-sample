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表紙" sheetId="1" r:id="rId4"/>
    <sheet state="visible" name="②Infra" sheetId="2" r:id="rId5"/>
    <sheet state="visible" name="③運用コストの見積もり" sheetId="3" r:id="rId6"/>
    <sheet state="visible" name="④見積り工数" sheetId="4" r:id="rId7"/>
    <sheet state="visible" name="⑤工数明細" sheetId="5" r:id="rId8"/>
    <sheet state="visible" name="⑥想定スケジュール " sheetId="6" r:id="rId9"/>
    <sheet state="hidden" name="Estimate (Revised)" sheetId="7" r:id="rId10"/>
    <sheet state="visible" name="⑦体制" sheetId="8" r:id="rId11"/>
    <sheet state="visible" name="⑧提供が必要なリソース" sheetId="9" r:id="rId12"/>
  </sheets>
  <definedNames>
    <definedName name="aab">#REF!</definedName>
    <definedName localSheetId="5" name="関連表">#REF!</definedName>
    <definedName name="__3__123Graph_Cｸﾞﾗﾌ_3">#REF!</definedName>
    <definedName localSheetId="5" name="_14a1_">#REF!</definedName>
    <definedName localSheetId="5" name="_5__123Graph_Xｸﾞﾗﾌ_2">#REF!</definedName>
    <definedName name="関連表">#REF!</definedName>
    <definedName localSheetId="5" name="__4__123Graph_LBL_Aｸﾞﾗﾌ_1">#REF!</definedName>
    <definedName localSheetId="5" name="__6__123Graph_Xｸﾞﾗﾌ_3">#REF!</definedName>
    <definedName localSheetId="5" name="_Sort">#REF!</definedName>
    <definedName localSheetId="5" name="くま">#REF!</definedName>
    <definedName name="_Sort">#REF!</definedName>
    <definedName name="_Key1">#REF!</definedName>
    <definedName localSheetId="5" name="_Key1">#REF!</definedName>
    <definedName localSheetId="5" name="_Fill">#REF!</definedName>
    <definedName localSheetId="5" name="_3__123Graph_Cｸﾞﾗﾌ_3">#REF!</definedName>
    <definedName name="_14a1_">#REF!</definedName>
    <definedName name="__4__123Graph_LBL_Aｸﾞﾗﾌ_1">#REF!</definedName>
    <definedName name="_2__123Graph_Aｸﾞﾗﾌ_2">#REF!</definedName>
    <definedName localSheetId="5" name="____a1">#REF!</definedName>
    <definedName localSheetId="5" name="_4__123Graph_LBL_Aｸﾞﾗﾌ_1">#REF!</definedName>
    <definedName localSheetId="5" name="_____a1">#REF!</definedName>
    <definedName name="_b1">#REF!</definedName>
    <definedName name="ああい">#REF!</definedName>
    <definedName localSheetId="5" name="__3__123Graph_Cｸﾞﾗﾌ_3">#REF!</definedName>
    <definedName name="_6__123Graph_Xｸﾞﾗﾌ_3">#REF!</definedName>
    <definedName name="_3__123Graph_Cｸﾞﾗﾌ_3">#REF!</definedName>
    <definedName localSheetId="5" name="__2__123Graph_Aｸﾞﾗﾌ_2">#REF!</definedName>
    <definedName localSheetId="5" name="__1__123Graph_Aｸﾞﾗﾌ_1">#REF!</definedName>
    <definedName localSheetId="5" name="_2__123Graph_Aｸﾞﾗﾌ_2">#REF!</definedName>
    <definedName name="_Fill">#REF!</definedName>
    <definedName name="_5__123Graph_Xｸﾞﾗﾌ_2">#REF!</definedName>
    <definedName localSheetId="5" name="ああい">#REF!</definedName>
    <definedName name="_4__123Graph_LBL_Aｸﾞﾗﾌ_1">#REF!</definedName>
    <definedName localSheetId="5" name="aab">#REF!</definedName>
    <definedName localSheetId="5" name="__5__123Graph_Xｸﾞﾗﾌ_2">#REF!</definedName>
    <definedName name="_84a1_">#REF!</definedName>
    <definedName name="__2__123Graph_Aｸﾞﾗﾌ_2">#REF!</definedName>
    <definedName localSheetId="5" name="___a1">#REF!</definedName>
    <definedName name="くま">#REF!</definedName>
    <definedName name="____a1">#REF!</definedName>
    <definedName localSheetId="5" name="_b1">#REF!</definedName>
    <definedName name="__6__123Graph_Xｸﾞﾗﾌ_3">#REF!</definedName>
    <definedName name="__5__123Graph_Xｸﾞﾗﾌ_2">#REF!</definedName>
    <definedName name="_____a1">#REF!</definedName>
    <definedName localSheetId="5" name="_84a1_">#REF!</definedName>
    <definedName localSheetId="5" name="_6__123Graph_Xｸﾞﾗﾌ_3">#REF!</definedName>
    <definedName name="__1__123Graph_Aｸﾞﾗﾌ_1">#REF!</definedName>
    <definedName localSheetId="5" name="_1__123Graph_Aｸﾞﾗﾌ_1">#REF!</definedName>
    <definedName localSheetId="5" name="中間成果物">#REF!</definedName>
    <definedName name="_1__123Graph_Aｸﾞﾗﾌ_1">#REF!</definedName>
    <definedName name="中間成果物">#REF!</definedName>
    <definedName name="___a1">#REF!</definedName>
    <definedName hidden="1" localSheetId="4" name="_xlnm._FilterDatabase">'⑤工数明細'!$B$2:$R$35</definedName>
  </definedNames>
  <calcPr/>
</workbook>
</file>

<file path=xl/sharedStrings.xml><?xml version="1.0" encoding="utf-8"?>
<sst xmlns="http://schemas.openxmlformats.org/spreadsheetml/2006/main" count="644" uniqueCount="382">
  <si>
    <t>表紙</t>
  </si>
  <si>
    <r>
      <rPr>
        <rFont val="Arial"/>
        <b/>
        <color rgb="FF008000"/>
        <sz val="72.0"/>
      </rPr>
      <t xml:space="preserve">
</t>
    </r>
    <r>
      <rPr>
        <rFont val="Arial"/>
        <b/>
        <color rgb="FF008000"/>
        <sz val="36.0"/>
      </rPr>
      <t>概算見積書</t>
    </r>
    <r>
      <rPr>
        <rFont val="Arial"/>
        <b/>
        <color rgb="FF008000"/>
        <sz val="20.0"/>
      </rPr>
      <t xml:space="preserve">
プロジェクト名：Knowledge &amp; Assistance System
</t>
    </r>
    <r>
      <rPr>
        <rFont val="Arial"/>
        <b/>
        <color rgb="FF993300"/>
        <sz val="26.0"/>
      </rPr>
      <t>バージョン：1.0</t>
    </r>
    <r>
      <rPr>
        <rFont val="Arial"/>
        <b/>
        <color rgb="FF008000"/>
        <sz val="26.0"/>
      </rPr>
      <t xml:space="preserve">
2025.10.30</t>
    </r>
  </si>
  <si>
    <t>社内チャットボット向けAWSサービス（10～20名程度のチーム向け）</t>
  </si>
  <si>
    <t>（高速、最安コスト）</t>
  </si>
  <si>
    <t>（性能とコストのバランス）</t>
  </si>
  <si>
    <t>（マルチモーダルモデル、高性能）</t>
  </si>
  <si>
    <t>Claude 3 Haiku</t>
  </si>
  <si>
    <t xml:space="preserve"> Claude 4 Sonnet</t>
  </si>
  <si>
    <t xml:space="preserve">gpt-oss-120b	</t>
  </si>
  <si>
    <t>Amazon Bedrock</t>
  </si>
  <si>
    <t>Amazon OpenSearch</t>
  </si>
  <si>
    <t>AWS Lambda</t>
  </si>
  <si>
    <t>Amazon S3</t>
  </si>
  <si>
    <t>Amplify</t>
  </si>
  <si>
    <t>RDS db.t3.micro (optional)</t>
  </si>
  <si>
    <t>Route 53
- Public hosted zone per month</t>
  </si>
  <si>
    <t>IaC</t>
  </si>
  <si>
    <t>CI/CD + Build</t>
  </si>
  <si>
    <t>VPC/network (data transfer)</t>
  </si>
  <si>
    <t>その他のサービス（API Gateway, DynamoDB (cho agents), EventBridge）</t>
  </si>
  <si>
    <t>合計（月額）</t>
  </si>
  <si>
    <t>Amazon Bedrockの利用想定（10～20名程度のチーム向け）</t>
  </si>
  <si>
    <t>* 一般情報</t>
  </si>
  <si>
    <t>リージョン</t>
  </si>
  <si>
    <t>ap-northeast-1 (Tokyo)</t>
  </si>
  <si>
    <t>モード</t>
  </si>
  <si>
    <t>On-Demand and Batch</t>
  </si>
  <si>
    <t>1回のインタラクションあたりのトークン数：</t>
  </si>
  <si>
    <t>- Input</t>
  </si>
  <si>
    <t>tokens</t>
  </si>
  <si>
    <t>- Output</t>
  </si>
  <si>
    <t>- Min</t>
  </si>
  <si>
    <t>人</t>
  </si>
  <si>
    <t>- Max</t>
  </si>
  <si>
    <t>1人あたりの1日の平均質問数</t>
  </si>
  <si>
    <t>質問/日</t>
  </si>
  <si>
    <t>* 10人、月22営業日と仮定：</t>
  </si>
  <si>
    <t xml:space="preserve"> 1日あたりのインタラクション数：</t>
  </si>
  <si>
    <t>インタラクション/日</t>
  </si>
  <si>
    <t xml:space="preserve"> 1ヶ月あたりのインタラクション数:</t>
  </si>
  <si>
    <t>インタラクション/月</t>
  </si>
  <si>
    <t>* 1ヶ月あたりの入出力トークン量</t>
  </si>
  <si>
    <t>Min (1人あたり1日10質問)</t>
  </si>
  <si>
    <t>- Input tokens</t>
  </si>
  <si>
    <t>- Output tokens</t>
  </si>
  <si>
    <t>- 合計</t>
  </si>
  <si>
    <t>Max (1人あたり1日20質問):</t>
  </si>
  <si>
    <t>* 20人、月22営業日と仮定：</t>
  </si>
  <si>
    <t>1日あたりのインタラクション数：</t>
  </si>
  <si>
    <t>1ヶ月あたりのインタラクション数：</t>
  </si>
  <si>
    <t>* 1ヶ月あたりの入出力トークン量：</t>
  </si>
  <si>
    <t>④見積り工数</t>
  </si>
  <si>
    <t>【見　積　工　数】</t>
  </si>
  <si>
    <t>積算した開発工数は、以下の表の通りです。</t>
  </si>
  <si>
    <t>#</t>
  </si>
  <si>
    <t>工程</t>
  </si>
  <si>
    <t>工数(MD)</t>
  </si>
  <si>
    <t>工数(MM)</t>
  </si>
  <si>
    <t>備考</t>
  </si>
  <si>
    <t>プロジェクト準備/ 開発環境の構築</t>
  </si>
  <si>
    <t>プロジェクト計画
開発環境（個人）,サーバ、テスト機準備</t>
  </si>
  <si>
    <t>仕様確認（スタディ）
アプリケーション方式設計</t>
  </si>
  <si>
    <t>仕様確認、Q&amp;A実施
アプリケーション処理方式の検討</t>
  </si>
  <si>
    <t>詳細設計
  (プログラム設計・DB設計)</t>
  </si>
  <si>
    <t>「⑤工数明細」 参照</t>
  </si>
  <si>
    <t>コーディング〜単体テスト</t>
  </si>
  <si>
    <t>結合テスト</t>
  </si>
  <si>
    <t>受入テスト対応</t>
  </si>
  <si>
    <t>デプロイ手順書・リリースノート
成果物確認</t>
  </si>
  <si>
    <t>合計</t>
  </si>
  <si>
    <t>※1~2人月バッファを確保頂ければと思います。
プロジェクトが順調にすすめば使用することはありませんが、必要時に備えていただけると助かります。</t>
  </si>
  <si>
    <t>【要員山積みと概算費用　について】</t>
  </si>
  <si>
    <t>期間</t>
  </si>
  <si>
    <t>参加人数
(人)</t>
  </si>
  <si>
    <t>工数
（人月）</t>
  </si>
  <si>
    <t>2025年11月01日~ 11月30日</t>
  </si>
  <si>
    <t>2025年12月01日~ 12月31日</t>
  </si>
  <si>
    <t>2026年1月01日~ 1月16日</t>
  </si>
  <si>
    <t>難易度</t>
  </si>
  <si>
    <t>1〜5</t>
  </si>
  <si>
    <t>機能一覧</t>
  </si>
  <si>
    <t>基準</t>
  </si>
  <si>
    <t>積算工数</t>
  </si>
  <si>
    <t>生産性</t>
  </si>
  <si>
    <t>エピック</t>
  </si>
  <si>
    <t>ユーザーストーリーID</t>
  </si>
  <si>
    <t>ペルソナ（誰？）
〜として</t>
  </si>
  <si>
    <t>アクション（何？）
〜をしたい</t>
  </si>
  <si>
    <t>価値（なぜ？）
〜ができるように</t>
  </si>
  <si>
    <t>優先度</t>
  </si>
  <si>
    <t>スプリント</t>
  </si>
  <si>
    <t>工数(人日)</t>
  </si>
  <si>
    <t>補正値</t>
  </si>
  <si>
    <t>規模(step)</t>
  </si>
  <si>
    <t>Memo</t>
  </si>
  <si>
    <t>詳細設計</t>
  </si>
  <si>
    <t>CDD</t>
  </si>
  <si>
    <t>チャットボット管理</t>
  </si>
  <si>
    <t>US001</t>
  </si>
  <si>
    <t>管理者</t>
  </si>
  <si>
    <t>チャットボット一覧の管理</t>
  </si>
  <si>
    <t>チャットボットの追加・編集・削除が可能。
 以下のパラメータをカスタマイズ可能。
・使用LLMモデル
・システムプロンプト</t>
  </si>
  <si>
    <t>Must</t>
  </si>
  <si>
    <t>C-UT</t>
  </si>
  <si>
    <t>US002</t>
  </si>
  <si>
    <t>チャットボットにアクセスできるユーザーの管理</t>
  </si>
  <si>
    <t>データ漏洩防止のため、権限を持つユーザーのみがチャットボットにアクセスできるようにする。</t>
  </si>
  <si>
    <t>CT</t>
  </si>
  <si>
    <t>US003</t>
  </si>
  <si>
    <t>ドキュメントのデータをベクターストアへ継続的に同期するプロセスの設定</t>
  </si>
  <si>
    <t>AIツールが常に最新で正確なドキュメントに基づいてユーザーの質問に回答し、情報の陳腐化を防ぐことを保証する。</t>
  </si>
  <si>
    <t>US004</t>
  </si>
  <si>
    <t>GitLabのデータをベクターストアへ継続的に同期するプロセスの設定</t>
  </si>
  <si>
    <t>常に最新のデータに基づいて回答できる。</t>
  </si>
  <si>
    <t>US005</t>
  </si>
  <si>
    <t>Backlogのデータをベクターストアへ継続的に同期するプロセスの設定</t>
  </si>
  <si>
    <t>US006</t>
  </si>
  <si>
    <t>Slackのデータをベクターストアへ継続的に同期するプロセスの設定</t>
  </si>
  <si>
    <t>US007</t>
  </si>
  <si>
    <t>運用要件に応じたエージェント（例：Code Agent）の有効化・無効化</t>
  </si>
  <si>
    <t>システムがユーザーに提供する機能を柔軟に制御できる。</t>
  </si>
  <si>
    <t>Should</t>
  </si>
  <si>
    <t>US008</t>
  </si>
  <si>
    <t>システムのパフォーマンスとコストの監視</t>
  </si>
  <si>
    <t>リソース使用を最適化し、運用予算を管理できる。</t>
  </si>
  <si>
    <t>チャットボットの挙動</t>
  </si>
  <si>
    <t>US009</t>
  </si>
  <si>
    <t>プロジェクトマネージャー</t>
  </si>
  <si>
    <t>プロジェクトのGitLabリポジトリに記録されたセキュリティ問題の集約</t>
  </si>
  <si>
    <t>最も重要なリスクに対処するために、優先順位付けとリソース配分を行える。</t>
  </si>
  <si>
    <t>Could</t>
  </si>
  <si>
    <t>US010</t>
  </si>
  <si>
    <t>優先度が高いが、～日以上遅延しているBacklog項目の特定</t>
  </si>
  <si>
    <t>ボトルネックを解消し、進捗を確保するためにタイムリーな介入を行える。</t>
  </si>
  <si>
    <t>US011</t>
  </si>
  <si>
    <t>BacklogのパフォーマンスデータとSlackの決定事項に基づいた週次レポートの自動生成</t>
  </si>
  <si>
    <t>手作業でのデータ集計に時間を費やす代わりに、進捗の迅速な評価、ボトルネックや重要な決定の特定を行い、戦略的な意思決定に集中できる。</t>
  </si>
  <si>
    <t>US012</t>
  </si>
  <si>
    <t>オープン中のバグ総数に関する即時レポートの受信</t>
  </si>
  <si>
    <t>チームの品質状況や作業の滞り具合を迅速に把握できる。</t>
  </si>
  <si>
    <t>US013</t>
  </si>
  <si>
    <t>開発者</t>
  </si>
  <si>
    <t>GitLabから同期された特定の関数またはコードファイルの動作ロジックの説明を要求</t>
  </si>
  <si>
    <t>システムの業務ロジックやアーキテクチャをより深く理解できる。</t>
  </si>
  <si>
    <t>US014</t>
  </si>
  <si>
    <t>過去に開発された機能に関連する特定コードスニペットの検索</t>
  </si>
  <si>
    <t>コミット履歴やファイルを閲覧することなく、迅速にコードを再利用または参照できる。</t>
  </si>
  <si>
    <t>US015</t>
  </si>
  <si>
    <t>多くの変更を含むマージリクエストの内容の要約</t>
  </si>
  <si>
    <t>変更されたコードを一行ずつ読まなくても、MRの目的と範囲を迅速に理解できる。</t>
  </si>
  <si>
    <t>US016</t>
  </si>
  <si>
    <t>特定のマージリクエストに対するコードレビューの要求</t>
  </si>
  <si>
    <t>上司に正式なレビューを依頼する前に、自動的かつ迅速にフィードバックと改善提案を受けられる。</t>
  </si>
  <si>
    <t>US017</t>
  </si>
  <si>
    <t>ユーザー</t>
  </si>
  <si>
    <t>IDを提供してBacklog内の特定のタスクまたは課題の詳細な説明を質問</t>
  </si>
  <si>
    <t>Backlogに直接アクセスすることなく、作業要件や問題の背景を明確に理解できる。</t>
  </si>
  <si>
    <t>US018</t>
  </si>
  <si>
    <t>Backlog課題の説明に記載されている用語や業務プロセスの説明を要求</t>
  </si>
  <si>
    <t>技術的な作業の背後にあるビジネスの背景をより深く理解できる。</t>
  </si>
  <si>
    <t>US019</t>
  </si>
  <si>
    <t>Slackでの長いスレッドの要約を要求</t>
  </si>
  <si>
    <t>各返信をすべて読まなくても、議論の最終的な結論を理解できる。</t>
  </si>
  <si>
    <t>US020</t>
  </si>
  <si>
    <t>重要なドキュメントが更新された際、他のドキュメント（例：参照資料、関連プロセス）への影響評価</t>
  </si>
  <si>
    <t>レビュー・修正が必要なドキュメントを即座に特定し、ナレッジベース全体の一貫性を保ちつつ、情報の陳腐化を防ぐことができる。</t>
  </si>
  <si>
    <t>US021</t>
  </si>
  <si>
    <t>数週間前にチャンネルで送信された「決済機能」に関する特定のメッセージを検索</t>
  </si>
  <si>
    <t>何千ものメッセージをスクロールすることなく、過去の情報を迅速に検索できる。</t>
  </si>
  <si>
    <t>US022</t>
  </si>
  <si>
    <t>プロジェクトやデータ（進捗、品質、リスクなど）に関する一般的な質問</t>
  </si>
  <si>
    <t>既存のすべてのドキュメント（Slack、Backlog、Gitlab、ドキュメント）に基づいて、正確な推論応答を受け取れる。</t>
  </si>
  <si>
    <t>US023</t>
  </si>
  <si>
    <t>ファイル（Word、Excel、PPT、PDF、画像）をアップロードして、そのデータに関する一般的な質問</t>
  </si>
  <si>
    <t>自分で情報を読んだり、分析したり、抽出したりすることなく、アップロードされたファイルの内容に基づいてLLMが生成した正確で即時の回答を受け取れる。</t>
  </si>
  <si>
    <t>US024</t>
  </si>
  <si>
    <t>テキストでの説明や取得したデータ構造に基づいた構成図の描画</t>
  </si>
  <si>
    <t>テキストの説明を読むよりも、アーキテクチャ、ワークフロー、各コンポーネント間の関係を明確かつ理解しやすく視覚化できる。</t>
  </si>
  <si>
    <t>US025</t>
  </si>
  <si>
    <t>最終決定を理解するため、クローズされた課題の最新コメントを要約</t>
  </si>
  <si>
    <t>やりとりの全スレッドを読まなくても、課題がクローズされた結果と理由を把握できる。</t>
  </si>
  <si>
    <t>US026</t>
  </si>
  <si>
    <t>ドキュメントに記載されている業務に関する任意の質問</t>
  </si>
  <si>
    <t>ドキュメント全体を検索・閲覧することなく、即座に正確な回答を受け取れる。</t>
  </si>
  <si>
    <t>US027</t>
  </si>
  <si>
    <t>チャットボットのウェブ検索</t>
  </si>
  <si>
    <t>最新の情報を取得して回答する。</t>
  </si>
  <si>
    <t>US028</t>
  </si>
  <si>
    <t>チャットボットとのやり取り管理</t>
  </si>
  <si>
    <t xml:space="preserve">やり取りの履歴を閲覧できる。
</t>
  </si>
  <si>
    <t>⑦想定スケジュール</t>
  </si>
  <si>
    <t>Sprint</t>
  </si>
  <si>
    <t>Sprint Goal</t>
  </si>
  <si>
    <t>担当者</t>
  </si>
  <si>
    <t>01</t>
  </si>
  <si>
    <t>07</t>
  </si>
  <si>
    <t>05</t>
  </si>
  <si>
    <t>02</t>
  </si>
  <si>
    <t>09</t>
  </si>
  <si>
    <t>マイルストーン</t>
  </si>
  <si>
    <t>Setup</t>
  </si>
  <si>
    <t>SPLUS</t>
  </si>
  <si>
    <t>Confirm 詳細設計</t>
  </si>
  <si>
    <t>株式会社シーイーシー様</t>
  </si>
  <si>
    <t>Sprint01
4 Week</t>
  </si>
  <si>
    <t>最重要機能の開発</t>
  </si>
  <si>
    <t>User Acceptance Test</t>
  </si>
  <si>
    <t>Sprint02
3 Week</t>
  </si>
  <si>
    <t>中優先度の機能開発</t>
  </si>
  <si>
    <t>Sprint03
3 Week</t>
  </si>
  <si>
    <t>残りの機能開発
（低優先度）</t>
  </si>
  <si>
    <t>リリース</t>
  </si>
  <si>
    <t>Common</t>
  </si>
  <si>
    <t>Task ID</t>
  </si>
  <si>
    <t>Task Name</t>
  </si>
  <si>
    <t>OS</t>
  </si>
  <si>
    <t>Size</t>
  </si>
  <si>
    <t>Description</t>
  </si>
  <si>
    <t>Output</t>
  </si>
  <si>
    <t>Effort
(day)</t>
  </si>
  <si>
    <t>Preparation Phase</t>
  </si>
  <si>
    <t>Environment Setup</t>
  </si>
  <si>
    <t>Set up development environments for Java (OpenJDK 17/21) and C# (.NET 8/9), configure access to both evaluation tools</t>
  </si>
  <si>
    <t>Functioning development environments, access to evaluation tools</t>
  </si>
  <si>
    <t>Evaluation Methodology Design</t>
  </si>
  <si>
    <t>Define detailed evaluation criteria, scoring systems, and standardized assessment templates</t>
  </si>
  <si>
    <t>Evaluation methodology document, assessment templates</t>
  </si>
  <si>
    <t>Verification Dataset Preparation</t>
  </si>
  <si>
    <t>Java Desktop Application Selection (Small)</t>
  </si>
  <si>
    <t>Desktop</t>
  </si>
  <si>
    <t>Small</t>
  </si>
  <si>
    <t>Identify and select suitable small-scale Java desktop application from GitHub</t>
  </si>
  <si>
    <t>Source code</t>
  </si>
  <si>
    <t>Java Desktop Application Selection (Large)</t>
  </si>
  <si>
    <t>Large</t>
  </si>
  <si>
    <t>Identify and select suitable large-scale Java desktop application from GitHub</t>
  </si>
  <si>
    <t>Java Web Application Selection (Small)</t>
  </si>
  <si>
    <t>Web</t>
  </si>
  <si>
    <t>Identify and select suitable small-scale Java web application with HTML/CSS frontend from GitHub</t>
  </si>
  <si>
    <t>Java Web Application Selection (Large)</t>
  </si>
  <si>
    <t>Identify and select suitable large-scale Java web application with HTML/CSS frontend from GitHub</t>
  </si>
  <si>
    <t>C# WPF Desktop Application Selection (Small)</t>
  </si>
  <si>
    <t>Identify and select suitable small-scale C# WPF desktop application from GitHub</t>
  </si>
  <si>
    <t>C# WPF Desktop Application Selection (Large)</t>
  </si>
  <si>
    <t>Identify and select suitable large-scale C# WPF desktop application from GitHub</t>
  </si>
  <si>
    <t>AIプログラミングツール (AI Programming Tool) Evaluation</t>
  </si>
  <si>
    <t>Task List Development</t>
  </si>
  <si>
    <t>Task Categories Definition</t>
  </si>
  <si>
    <t>Define 10 major task categories (functionality additions, bug fixes, refactoring, etc.)</t>
  </si>
  <si>
    <t>List of major task categories with descriptions</t>
  </si>
  <si>
    <t>Detailed Task Creation</t>
  </si>
  <si>
    <t>Create 20 specific subcategory tasks for each major category (200 total tasks)</t>
  </si>
  <si>
    <t>Complete task list document with 200 specific tasks</t>
  </si>
  <si>
    <t>Task Instructions Preparation</t>
  </si>
  <si>
    <t>Prepare both coarse and specific instructions for each task</t>
  </si>
  <si>
    <t>Task instruction document with both instruction types</t>
  </si>
  <si>
    <t>Screen</t>
  </si>
  <si>
    <t>LOC</t>
  </si>
  <si>
    <t>File</t>
  </si>
  <si>
    <t>Link</t>
  </si>
  <si>
    <t>Testcase</t>
  </si>
  <si>
    <t>Effort
 ( hour / Task )</t>
  </si>
  <si>
    <t>Capture Evident
( hour / Task )</t>
  </si>
  <si>
    <t>AI Programming Tool Execution and Evaluation</t>
  </si>
  <si>
    <t>Java Desktop Application</t>
  </si>
  <si>
    <t>https://github.com/sudhirkumar85/Hotel-Management-System/tree/master</t>
  </si>
  <si>
    <t>Execute and evaluate tasks for small Java desktop applications with both AI models and instruction types</t>
  </si>
  <si>
    <t>Evaluation data for Java desktop applications</t>
  </si>
  <si>
    <t>https://github.com/kunaltyagi9/Travel-and-Toursim-Management-System.git</t>
  </si>
  <si>
    <t>Execute and evaluate tasks for large Java desktop applications with both AI models and instruction types</t>
  </si>
  <si>
    <t>Java Web Application</t>
  </si>
  <si>
    <t>https://github.com/spring-projects/spring-petclinic.git</t>
  </si>
  <si>
    <t>Execute and evaluate tasks for small Java web applications with both AI models and instruction types</t>
  </si>
  <si>
    <t>Evaluation data for Java web applications</t>
  </si>
  <si>
    <t>https://github.com/oburakcinar/Student-Management-System</t>
  </si>
  <si>
    <t>Execute and evaluate tasks for large Java web applications with both AI models and instruction types</t>
  </si>
  <si>
    <t>C# WPF Desktop Application</t>
  </si>
  <si>
    <t>https://github.com/dattali18/WPF-.NET-Project</t>
  </si>
  <si>
    <t>Execute and evaluate tasks for small C# WPF applications with both AI models and instruction types</t>
  </si>
  <si>
    <t>Evaluation data for C# WPF applications</t>
  </si>
  <si>
    <t>https://drive.google.com/file/d/1eUXZ8xXpEfZE7TG-FTc9poIhRq2Gne0C/view</t>
  </si>
  <si>
    <t>Execute and evaluate tasks for large C# WPF applications with both AI models and instruction types</t>
  </si>
  <si>
    <t>AI Programming Tool Analysis</t>
  </si>
  <si>
    <t>Data Compilation and Preprocessing</t>
  </si>
  <si>
    <t>Compile evaluation data, prepare for analysis</t>
  </si>
  <si>
    <t>Preprocessed evaluation dataset</t>
  </si>
  <si>
    <t>Findings Documentation</t>
  </si>
  <si>
    <t>Document key findings, trends, and insights</t>
  </si>
  <si>
    <t>AI Programming Tool analysis report</t>
  </si>
  <si>
    <t>Total</t>
  </si>
  <si>
    <t>(day)</t>
  </si>
  <si>
    <t>詳細設計/単体テスト作成ツール (Detailed Design/Unit Test Creation Tool) Evaluation</t>
  </si>
  <si>
    <t xml:space="preserve">Design Document Evaluation </t>
  </si>
  <si>
    <t>Upload Java application source code, evaluate generated design documents and diagrams</t>
  </si>
  <si>
    <t>Evaluation data for Java applications design documents</t>
  </si>
  <si>
    <t>Upload C# application source code, evaluate generated design documents and diagrams</t>
  </si>
  <si>
    <t>Evaluation data for C# applications design documents</t>
  </si>
  <si>
    <t>Unit Test Evaluation</t>
  </si>
  <si>
    <t>Java Applications Unit Test Evaluation</t>
  </si>
  <si>
    <t>Evaluate generated unit test patterns and code for Java applications, verify execution</t>
  </si>
  <si>
    <t>Evaluation data for Java applications unit tests</t>
  </si>
  <si>
    <t>C# Applications Unit Test Evaluation</t>
  </si>
  <si>
    <t>Evaluate generated unit test patterns and code for C# applications, verify execution</t>
  </si>
  <si>
    <t>⑥体制</t>
  </si>
  <si>
    <t>プロジェクト推進の体制は以下を想定しております。</t>
  </si>
  <si>
    <t xml:space="preserve">　体制図</t>
  </si>
  <si>
    <t>日本法人(契約窓口)</t>
  </si>
  <si>
    <t>Ozawa</t>
  </si>
  <si>
    <t>PMO(PMの上位管理者)</t>
  </si>
  <si>
    <t>Le Anh Duy</t>
  </si>
  <si>
    <t>AnNT</t>
  </si>
  <si>
    <t>PhuongND</t>
  </si>
  <si>
    <t>プロジェクト管理</t>
  </si>
  <si>
    <t>部長: 幸田様</t>
  </si>
  <si>
    <t>Project Manager (PM)</t>
  </si>
  <si>
    <t>Comtor</t>
  </si>
  <si>
    <t>Nguyen Trieu Duong
(DuongNT)</t>
  </si>
  <si>
    <t xml:space="preserve"> Tran Thi Phuong Thao
(ThaoTTP)</t>
  </si>
  <si>
    <t>日本語</t>
  </si>
  <si>
    <t>（窓口：日本語の場合）</t>
  </si>
  <si>
    <t>メンバー1</t>
  </si>
  <si>
    <t>Nguyen Anh Kiet
(KietNA)</t>
  </si>
  <si>
    <t>メンバー2</t>
  </si>
  <si>
    <t>Do Van Vinh
(VinhDV)</t>
  </si>
  <si>
    <t>メンバー3</t>
  </si>
  <si>
    <t>Le Van Quy
(QuyLV)</t>
  </si>
  <si>
    <t>メンバー4</t>
  </si>
  <si>
    <t>Do Trong Phu
(PhuDT)</t>
  </si>
  <si>
    <t>ラボ契約者</t>
  </si>
  <si>
    <t>Resource Name</t>
  </si>
  <si>
    <t>説明</t>
  </si>
  <si>
    <t>AWS Account</t>
  </si>
  <si>
    <t>AWSアカウントはプロジェクトで使用されます。
開発チームがサービスを作成・管理できるように、必要な権限のIAMユーザーまたはIAMロールを作ってください。</t>
  </si>
  <si>
    <t>Amazon OpenSearch Service</t>
  </si>
  <si>
    <t>Amazon API Gateway</t>
  </si>
  <si>
    <t>Amazon DynamoDB</t>
  </si>
  <si>
    <t>コンバセーションを保存します。</t>
  </si>
  <si>
    <t>Amazon EventBridge</t>
  </si>
  <si>
    <t>指定されたリソースからデータを取得するスケジュールを作成します。</t>
  </si>
  <si>
    <t>Amazon CloudWatch</t>
  </si>
  <si>
    <t>監視し、ログを記録します。</t>
  </si>
  <si>
    <t>AWS Amplify</t>
  </si>
  <si>
    <t>フロントエンドを実装します。</t>
  </si>
  <si>
    <t>Amazon CloudFront</t>
  </si>
  <si>
    <t>Amazon Route53</t>
  </si>
  <si>
    <t>Infrastructure as Code (IaC):
- AWS CloudFormation
- Hoặc Terraform</t>
  </si>
  <si>
    <t>AWSにリソースを展開するためのインフラである。</t>
  </si>
  <si>
    <t>CI/CD:
- CodePipeline
- CodeBuild
- CodeDeploy</t>
  </si>
  <si>
    <t>Amazon RDS (optional)
- Postgres instance</t>
  </si>
  <si>
    <t>ユーザーのデータ（設定など）を保存します。</t>
  </si>
  <si>
    <t>Amazon VPC</t>
  </si>
  <si>
    <t>以下を含むVPC（チャットボットのリソース用に分離されたプライベートなネットワーク環境）を作成します。
-  2つのプライベートサブネットを、各アベイラビリティゾーン（AZ）に配置</t>
  </si>
  <si>
    <t>Option 1: IAM User - Developer/DevOps role (Using AWS managed policy )</t>
  </si>
  <si>
    <t>Group</t>
  </si>
  <si>
    <t>AWS Managed Policy</t>
  </si>
  <si>
    <t>Compute / API</t>
  </si>
  <si>
    <t>- AWSLambda_FullAccess
- AmazonAPIGatewayAdministrator</t>
  </si>
  <si>
    <t>Data layer</t>
  </si>
  <si>
    <t>- AmazonS3FullAccess
- AmazonDynamoDBFullAccess
- AmazonRDSFullAccess
- AmazonOpenSearchServiceFullAccess</t>
  </si>
  <si>
    <t>AI / ML</t>
  </si>
  <si>
    <t>- AmazonBedrockFullAccess</t>
  </si>
  <si>
    <t>Monitoring &amp; Event</t>
  </si>
  <si>
    <t>- CloudWatchFullAccess
- AmazonEventBridgeFullAccess</t>
  </si>
  <si>
    <t>Network / CDN</t>
  </si>
  <si>
    <t>- AmazonVPCFullAccess
- AmazonRoute53FullAccess
- CloudFrontFullAccess</t>
  </si>
  <si>
    <t>App Hosting</t>
  </si>
  <si>
    <t>- AmplifyFullAccess</t>
  </si>
  <si>
    <t>- AWSCloudFormationFullAccess
- IAMPassRole</t>
  </si>
  <si>
    <t>CI/CD</t>
  </si>
  <si>
    <t>- AWSCodeBuildAdminAccess
- AWSCodeDeployFullAccess
- AWSCodePipelineFullAccess</t>
  </si>
  <si>
    <t>Base IAM View</t>
  </si>
  <si>
    <t>- IAMReadOnlyAccess
- AWSSecurityAudit</t>
  </si>
  <si>
    <t>Option 2: IAM User - Developer/DevOps role (custom least privilege policy)</t>
  </si>
  <si>
    <t>Action: 
- lambda:CreateFunction
- lambda:UpdateFunctionCode
- lambda:UpdateFunctionConfiguration
- lambda:GetFunction
- lambda:InvokeFunction
- lambda:DeleteFunction
- apigateway:POST
- apigateway:PUT
- apigateway:GET
- apigateway:DELETE
- apigateway:PATCH
Resource:
- arn:aws:lambda:&lt;REGION&gt;:&lt;ACCOUNT_ID&gt;:function/&lt;YOUR_APP_PREFIX&gt;*
- arn:aws:apigateway:&lt;REGION&gt;::/restapis/&lt;API_ID&gt;/*</t>
  </si>
  <si>
    <t>Action: 
- s3:ListBucket
- s3:GetObject
- s3:PutObject
- s3:DeleteObject
- dynamodb:GetItem
- dynamodb:PutItem
- dynamodb:UpdateItem
- dynamodb:DeleteItem
- dynamodb:Query
- dynamodb:Scan
- rds:DescribeDBInstances
- rds:ModifyDBInstance
- rds:RebootDBInstance
- opensearch:CreateDomain
- opensearch:DescribeDomain
- opensearch:DeleteDomain
Resource:
- arn:aws:s3:::&lt;YOUR_BUCKET_PREFIX&gt;*
- arn:aws:s3:::&lt;YOUR_BUCKET_PREFIX&gt;*/*
- arn:aws:dynamodb:&lt;REGION&gt;:&lt;ACCOUNT_ID&gt;:table/&lt;YOUR_TABLE_PREFIX&gt;*
- arn:aws:rds:&lt;REGION&gt;:&lt;ACCOUNT_ID&gt;:db:&lt;YOUR_DB_INSTANCE_PREFIX&gt;*
- arn:aws:es:&lt;REGION&gt;:&lt;ACCOUNT_ID&gt;:domain/&lt;YOUR_OS_DOMAIN_PREFIX&gt;*
- arn:aws:opensearch:&lt;REGION&gt;:&lt;ACCOUNT_ID&gt;:domain/&lt;YOUR_OS_DOMAIN_PREFIX&gt;*</t>
  </si>
  <si>
    <t>Action:
- bedrock:InvokeModel
- bedrock:ListModels
- bedrock:DescribeModel
- bedrock:CreateModel
- bedrock:DeleteModel
Resource: "*"</t>
  </si>
  <si>
    <t>Action:
- logs:CreateLogGroup
- logs:CreateLogStream
- logs:PutLogEvents
- cloudwatch:PutMetricData
- cloudwatch:DescribeAlarms
- cloudwatch:PutAlarmState
- events:PutRule
- events:PutTargets
- events:ListRules
- events:DescribeRule
Resource: "*"</t>
  </si>
  <si>
    <t>Action:
- ec2:DescribeVpcs
- ec2:CreateVpc
- ec2:DeleteVpc
- ec2:ModifyVpcAttribute
- route53:ListHostedZones
- route53:ChangeResourceRecordSets
- cloudfront:CreateDistribution
- cloudfront:UpdateDistribution
- cloudfront:DeleteDistribution
Resource: "*"</t>
  </si>
  <si>
    <t>Action:
- amplify:CreateApp
- amplify:DeleteApp
- amplify:UpdateApp
- amplify:GetApp
- amplify:StartDeployment
- amplify:StopJob
Resource:
- arn:aws:amplify:&lt;REGION&gt;:&lt;ACCOUNT_ID&gt;:apps/&lt;YOUR_APP_PREFIX&gt;*</t>
  </si>
  <si>
    <t>Action:
- cloudformation:CreateStack
- cloudformation:UpdateStack
- cloudformation:DeleteStack
- cloudformation:DescribeStacks
- iam:PassRole
Resource:
- arn:aws:cloudformation:&lt;REGION&gt;:&lt;ACCOUNT_ID&gt;:stack/&lt;YOUR_STACK_PREFIX&gt;*
- arn:aws:iam::&lt;ACCOUNT_ID&gt;:role/&lt;YOUR_CF_EXECUTION_ROLE&gt;</t>
  </si>
  <si>
    <t>Action:
- codepipeline:StartPipelineExecution
- codepipeline:GetPipeline
- codepipeline:ListPipelines
- codebuild:StartBuild
- codebuild:BatchGetBuilds
- codedeploy:CreateDeployment
- codedeploy:GetDeployment
Resource: "*"</t>
  </si>
  <si>
    <t>* PassRole_Restricted
Action:
- iam:PassRole
Resource:
- arn:aws:iam::&lt;ACCOUNT_ID&gt;:role/&lt;LAMBDA_EXECUTION_ROLE&gt;
- arn:aws:iam::&lt;ACCOUNT_ID&gt;:role/&lt;CODEBUILD_SERVICE_ROLE&gt;
- arn:aws:iam::&lt;ACCOUNT_ID&gt;:role/&lt;CODEDEPLOY_SERVICE_ROLE&gt;
* Base_IAM_ReadOnly
Action:
- iam:GetUser
- iam:ListAttachedUserPolicies
- iam:ListGroupsForUser
- sts:GetCallerIdentity
Resource:
- arn:aws:iam::&lt;ACCOUNT_ID&gt;:user/${aws:username}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</si>
</sst>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F800]dddd\,\ mmmm\ dd\,\ yyyy"/>
    <numFmt numFmtId="165" formatCode="[$$]#,##0"/>
    <numFmt numFmtId="166" formatCode="&quot;$&quot;#,##0.00"/>
    <numFmt numFmtId="167" formatCode="#,##0.0;[Red]\-#,##0.0"/>
    <numFmt numFmtId="168" formatCode="0.0_);[Red]\(0.0\)"/>
    <numFmt numFmtId="169" formatCode="0.00_);[Red]\(0.00\)"/>
    <numFmt numFmtId="170" formatCode="#,##0.0"/>
  </numFmts>
  <fonts count="45">
    <font>
      <sz val="11.0"/>
      <color rgb="FF000000"/>
      <name val="MS PGothic"/>
      <scheme val="minor"/>
    </font>
    <font>
      <sz val="14.0"/>
      <color theme="1"/>
      <name val="Meiryo"/>
    </font>
    <font>
      <b/>
      <sz val="14.0"/>
      <color theme="1"/>
      <name val="Meiryo"/>
    </font>
    <font/>
    <font>
      <b/>
      <sz val="20.0"/>
      <color rgb="FF008000"/>
      <name val="Meiryo"/>
    </font>
    <font>
      <sz val="14.0"/>
      <color rgb="FF000080"/>
      <name val="Meiryo"/>
    </font>
    <font>
      <sz val="11.0"/>
      <color rgb="FF000000"/>
      <name val="Meiryo"/>
    </font>
    <font>
      <sz val="13.0"/>
      <color theme="1"/>
      <name val="Noto Sans JP"/>
    </font>
    <font>
      <b/>
      <sz val="13.0"/>
      <color theme="1"/>
      <name val="Noto Sans JP"/>
    </font>
    <font>
      <b/>
      <sz val="16.0"/>
      <color theme="1"/>
      <name val="Meiryo"/>
    </font>
    <font>
      <sz val="14.0"/>
      <color rgb="FFFF0000"/>
      <name val="Meiryo"/>
    </font>
    <font>
      <sz val="16.0"/>
      <color theme="1"/>
      <name val="Meiryo"/>
    </font>
    <font>
      <b/>
      <sz val="12.0"/>
      <color theme="1"/>
      <name val="Meiryo"/>
    </font>
    <font>
      <b/>
      <sz val="14.0"/>
      <color rgb="FFFF0000"/>
      <name val="Meiryo"/>
    </font>
    <font>
      <b/>
      <sz val="14.0"/>
      <color rgb="FF000000"/>
      <name val="Meiryo"/>
    </font>
    <font>
      <sz val="14.0"/>
      <color rgb="FF000000"/>
      <name val="Meiryo"/>
    </font>
    <font>
      <sz val="18.0"/>
      <color rgb="FF000000"/>
      <name val="Meiryo"/>
    </font>
    <font>
      <b/>
      <sz val="18.0"/>
      <color rgb="FF000000"/>
      <name val="Meiryo"/>
    </font>
    <font>
      <color theme="1"/>
      <name val="MS PGothic"/>
      <scheme val="minor"/>
    </font>
    <font>
      <sz val="11.0"/>
      <color theme="1"/>
      <name val="MS PGothic"/>
    </font>
    <font>
      <sz val="15.0"/>
      <color theme="1"/>
      <name val="Noto Sans JP"/>
    </font>
    <font>
      <b/>
      <sz val="15.0"/>
      <color theme="1"/>
      <name val="Noto Sans JP"/>
    </font>
    <font>
      <b/>
      <sz val="24.0"/>
      <color theme="1"/>
      <name val="Meiryo"/>
    </font>
    <font>
      <b/>
      <sz val="18.0"/>
      <color theme="1"/>
      <name val="Meiryo"/>
    </font>
    <font>
      <b/>
      <sz val="22.0"/>
      <color theme="1"/>
      <name val="Meiryo"/>
    </font>
    <font>
      <sz val="26.0"/>
      <color theme="1"/>
      <name val="Meiryo"/>
    </font>
    <font>
      <sz val="18.0"/>
      <color theme="1"/>
      <name val="Meiryo"/>
    </font>
    <font>
      <sz val="20.0"/>
      <color theme="1"/>
      <name val="Meiryo"/>
    </font>
    <font>
      <sz val="11.0"/>
      <color theme="1"/>
      <name val="Noto Sans JP"/>
    </font>
    <font>
      <b/>
      <sz val="14.0"/>
      <color theme="1"/>
      <name val="Noto Sans JP"/>
    </font>
    <font>
      <sz val="12.0"/>
      <color theme="1"/>
      <name val="Noto Sans JP"/>
    </font>
    <font>
      <sz val="12.0"/>
      <color theme="1"/>
      <name val="Calibri"/>
    </font>
    <font>
      <b/>
      <sz val="11.0"/>
      <color theme="1"/>
      <name val="Noto Sans JP"/>
    </font>
    <font>
      <u/>
      <sz val="11.0"/>
      <color rgb="FF0000FF"/>
      <name val="Noto Sans JP"/>
    </font>
    <font>
      <b/>
      <sz val="11.0"/>
      <color rgb="FFFFFFFF"/>
      <name val="Noto Sans JP"/>
    </font>
    <font>
      <sz val="12.0"/>
      <color rgb="FF000000"/>
      <name val="Meiryo"/>
    </font>
    <font>
      <sz val="12.0"/>
      <color theme="1"/>
      <name val="Meiryo"/>
    </font>
    <font>
      <b/>
      <i/>
      <sz val="12.0"/>
      <color theme="1"/>
      <name val="Meiryo"/>
    </font>
    <font>
      <i/>
      <sz val="12.0"/>
      <color theme="1"/>
      <name val="Meiryo"/>
    </font>
    <font>
      <b/>
      <sz val="12.0"/>
      <color theme="0"/>
      <name val="Meiryo"/>
    </font>
    <font>
      <b/>
      <sz val="12.0"/>
      <color rgb="FF000000"/>
      <name val="Meiryo"/>
    </font>
    <font>
      <b/>
      <i/>
      <sz val="12.0"/>
      <color rgb="FFFF0000"/>
      <name val="Meiryo"/>
    </font>
    <font>
      <b/>
      <sz val="12.0"/>
      <color rgb="FFFF0000"/>
      <name val="Meiryo"/>
    </font>
    <font>
      <color theme="1"/>
      <name val="Arial"/>
    </font>
    <font>
      <b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95B3D7"/>
        <bgColor rgb="FF95B3D7"/>
      </patternFill>
    </fill>
    <fill>
      <patternFill patternType="solid">
        <fgColor rgb="FFF2DBDB"/>
        <bgColor rgb="FFF2DBDB"/>
      </patternFill>
    </fill>
    <fill>
      <patternFill patternType="solid">
        <fgColor rgb="FFC2D69B"/>
        <bgColor rgb="FFC2D69B"/>
      </patternFill>
    </fill>
    <fill>
      <patternFill patternType="solid">
        <fgColor rgb="FFC9DAF8"/>
        <bgColor rgb="FFC9DAF8"/>
      </patternFill>
    </fill>
    <fill>
      <patternFill patternType="solid">
        <fgColor rgb="FFFABF8F"/>
        <bgColor rgb="FFFABF8F"/>
      </patternFill>
    </fill>
    <fill>
      <patternFill patternType="solid">
        <fgColor rgb="FFA4C2F4"/>
        <bgColor rgb="FFA4C2F4"/>
      </patternFill>
    </fill>
    <fill>
      <patternFill patternType="solid">
        <fgColor rgb="FFFDE9D9"/>
        <bgColor rgb="FFFDE9D9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D99594"/>
        <bgColor rgb="FFD99594"/>
      </patternFill>
    </fill>
    <fill>
      <patternFill patternType="solid">
        <fgColor theme="4"/>
        <bgColor theme="4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rgb="FFCBCBCB"/>
        <bgColor rgb="FFCBCBCB"/>
      </patternFill>
    </fill>
  </fills>
  <borders count="66">
    <border/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medium">
        <color rgb="FF000000"/>
      </right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dotted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164" applyAlignment="1" applyFont="1" applyNumberFormat="1"/>
  </cellStyleXfs>
  <cellXfs count="280">
    <xf borderId="0" fillId="0" fontId="0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bottom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bottom"/>
    </xf>
    <xf borderId="5" fillId="3" fontId="4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2" fontId="2" numFmtId="164" xfId="0" applyAlignment="1" applyBorder="1" applyFont="1" applyNumberForma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0" fillId="0" fontId="5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readingOrder="0" vertical="bottom"/>
    </xf>
    <xf borderId="15" fillId="0" fontId="8" numFmtId="0" xfId="0" applyAlignment="1" applyBorder="1" applyFont="1">
      <alignment readingOrder="0" vertical="bottom"/>
    </xf>
    <xf borderId="15" fillId="0" fontId="8" numFmtId="0" xfId="0" applyAlignment="1" applyBorder="1" applyFont="1">
      <alignment horizontal="center" readingOrder="0" vertical="bottom"/>
    </xf>
    <xf borderId="15" fillId="0" fontId="8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15" fillId="0" fontId="7" numFmtId="0" xfId="0" applyAlignment="1" applyBorder="1" applyFont="1">
      <alignment vertical="center"/>
    </xf>
    <xf borderId="15" fillId="0" fontId="7" numFmtId="165" xfId="0" applyAlignment="1" applyBorder="1" applyFont="1" applyNumberFormat="1">
      <alignment horizontal="right" readingOrder="0" vertical="center"/>
    </xf>
    <xf borderId="15" fillId="4" fontId="7" numFmtId="165" xfId="0" applyAlignment="1" applyBorder="1" applyFill="1" applyFont="1" applyNumberFormat="1">
      <alignment horizontal="right" readingOrder="0" vertical="center"/>
    </xf>
    <xf borderId="15" fillId="4" fontId="7" numFmtId="0" xfId="0" applyAlignment="1" applyBorder="1" applyFont="1">
      <alignment horizontal="right" readingOrder="0" shrinkToFit="0" vertical="bottom" wrapText="0"/>
    </xf>
    <xf borderId="15" fillId="4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readingOrder="0" vertical="center"/>
    </xf>
    <xf borderId="15" fillId="0" fontId="7" numFmtId="0" xfId="0" applyAlignment="1" applyBorder="1" applyFont="1">
      <alignment readingOrder="0" vertical="center"/>
    </xf>
    <xf borderId="15" fillId="4" fontId="7" numFmtId="166" xfId="0" applyAlignment="1" applyBorder="1" applyFont="1" applyNumberFormat="1">
      <alignment horizontal="right" readingOrder="0" vertical="bottom"/>
    </xf>
    <xf borderId="15" fillId="4" fontId="7" numFmtId="166" xfId="0" applyAlignment="1" applyBorder="1" applyFont="1" applyNumberFormat="1">
      <alignment horizontal="right" readingOrder="0" vertical="center"/>
    </xf>
    <xf borderId="0" fillId="0" fontId="7" numFmtId="0" xfId="0" applyAlignment="1" applyFont="1">
      <alignment readingOrder="0" shrinkToFit="0" vertical="center" wrapText="1"/>
    </xf>
    <xf borderId="15" fillId="0" fontId="7" numFmtId="0" xfId="0" applyAlignment="1" applyBorder="1" applyFont="1">
      <alignment readingOrder="0" shrinkToFit="0" vertical="center" wrapText="1"/>
    </xf>
    <xf borderId="15" fillId="0" fontId="8" numFmtId="0" xfId="0" applyAlignment="1" applyBorder="1" applyFont="1">
      <alignment readingOrder="0" vertical="center"/>
    </xf>
    <xf borderId="15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vertical="bottom"/>
    </xf>
    <xf borderId="16" fillId="5" fontId="8" numFmtId="0" xfId="0" applyAlignment="1" applyBorder="1" applyFill="1" applyFont="1">
      <alignment readingOrder="0"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5" fillId="0" fontId="8" numFmtId="0" xfId="0" applyAlignment="1" applyBorder="1" applyFont="1">
      <alignment readingOrder="0" vertical="center"/>
    </xf>
    <xf borderId="16" fillId="0" fontId="7" numFmtId="0" xfId="0" applyAlignment="1" applyBorder="1" applyFont="1">
      <alignment readingOrder="0" vertical="bottom"/>
    </xf>
    <xf borderId="19" fillId="0" fontId="8" numFmtId="0" xfId="0" applyAlignment="1" applyBorder="1" applyFont="1">
      <alignment readingOrder="0" vertical="center"/>
    </xf>
    <xf borderId="15" fillId="0" fontId="7" numFmtId="0" xfId="0" applyAlignment="1" applyBorder="1" applyFont="1">
      <alignment readingOrder="0" vertical="bottom"/>
    </xf>
    <xf borderId="15" fillId="0" fontId="7" numFmtId="0" xfId="0" applyAlignment="1" applyBorder="1" applyFont="1">
      <alignment readingOrder="0" vertical="bottom"/>
    </xf>
    <xf borderId="20" fillId="0" fontId="3" numFmtId="0" xfId="0" applyAlignment="1" applyBorder="1" applyFont="1">
      <alignment vertical="center"/>
    </xf>
    <xf borderId="19" fillId="0" fontId="7" numFmtId="0" xfId="0" applyAlignment="1" applyBorder="1" applyFont="1">
      <alignment readingOrder="0" vertical="center"/>
    </xf>
    <xf borderId="15" fillId="0" fontId="7" numFmtId="3" xfId="0" applyAlignment="1" applyBorder="1" applyFont="1" applyNumberFormat="1">
      <alignment readingOrder="0" vertical="bottom"/>
    </xf>
    <xf borderId="15" fillId="0" fontId="7" numFmtId="0" xfId="0" applyAlignment="1" applyBorder="1" applyFont="1">
      <alignment vertical="bottom"/>
    </xf>
    <xf borderId="21" fillId="0" fontId="3" numFmtId="0" xfId="0" applyAlignment="1" applyBorder="1" applyFont="1">
      <alignment vertical="center"/>
    </xf>
    <xf borderId="15" fillId="0" fontId="8" numFmtId="3" xfId="0" applyAlignment="1" applyBorder="1" applyFont="1" applyNumberFormat="1">
      <alignment readingOrder="0" vertical="bottom"/>
    </xf>
    <xf borderId="0" fillId="0" fontId="1" numFmtId="164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2" numFmtId="0" xfId="0" applyAlignment="1" applyFont="1">
      <alignment horizontal="left" shrinkToFit="1" vertical="center" wrapText="0"/>
    </xf>
    <xf borderId="0" fillId="0" fontId="1" numFmtId="0" xfId="0" applyAlignment="1" applyFont="1">
      <alignment horizontal="left" shrinkToFit="1" vertical="center" wrapText="0"/>
    </xf>
    <xf borderId="0" fillId="0" fontId="10" numFmtId="0" xfId="0" applyAlignment="1" applyFont="1">
      <alignment horizontal="left" shrinkToFit="1" vertical="center" wrapText="0"/>
    </xf>
    <xf borderId="15" fillId="2" fontId="2" numFmtId="164" xfId="0" applyAlignment="1" applyBorder="1" applyFont="1" applyNumberFormat="1">
      <alignment horizontal="center" vertical="center"/>
    </xf>
    <xf borderId="16" fillId="2" fontId="2" numFmtId="0" xfId="0" applyAlignment="1" applyBorder="1" applyFont="1">
      <alignment horizontal="center" shrinkToFit="0" vertical="center" wrapText="1"/>
    </xf>
    <xf borderId="15" fillId="2" fontId="2" numFmtId="2" xfId="0" applyAlignment="1" applyBorder="1" applyFont="1" applyNumberFormat="1">
      <alignment horizontal="center" shrinkToFit="0" vertical="center" wrapText="1"/>
    </xf>
    <xf borderId="16" fillId="2" fontId="2" numFmtId="2" xfId="0" applyAlignment="1" applyBorder="1" applyFont="1" applyNumberFormat="1">
      <alignment horizontal="center" shrinkToFit="0" vertical="center" wrapText="1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left" shrinkToFit="0" vertical="top" wrapText="1"/>
    </xf>
    <xf borderId="15" fillId="0" fontId="11" numFmtId="167" xfId="0" applyAlignment="1" applyBorder="1" applyFont="1" applyNumberFormat="1">
      <alignment horizontal="right" readingOrder="0" shrinkToFit="0" vertical="center" wrapText="1"/>
    </xf>
    <xf borderId="15" fillId="0" fontId="11" numFmtId="167" xfId="0" applyAlignment="1" applyBorder="1" applyFont="1" applyNumberFormat="1">
      <alignment horizontal="right" shrinkToFit="0" vertical="center" wrapText="1"/>
    </xf>
    <xf borderId="16" fillId="0" fontId="1" numFmtId="38" xfId="0" applyAlignment="1" applyBorder="1" applyFont="1" applyNumberFormat="1">
      <alignment horizontal="left" shrinkToFit="0" vertical="top" wrapText="1"/>
    </xf>
    <xf borderId="22" fillId="0" fontId="1" numFmtId="38" xfId="0" applyAlignment="1" applyBorder="1" applyFont="1" applyNumberFormat="1">
      <alignment horizontal="left" shrinkToFit="0" vertical="top" wrapText="1"/>
    </xf>
    <xf borderId="23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5" fillId="0" fontId="1" numFmtId="0" xfId="0" applyAlignment="1" applyBorder="1" applyFont="1">
      <alignment horizontal="center" readingOrder="0" vertical="center"/>
    </xf>
    <xf borderId="16" fillId="2" fontId="2" numFmtId="0" xfId="0" applyAlignment="1" applyBorder="1" applyFont="1">
      <alignment horizontal="right" vertical="center"/>
    </xf>
    <xf borderId="15" fillId="2" fontId="9" numFmtId="167" xfId="0" applyAlignment="1" applyBorder="1" applyFont="1" applyNumberFormat="1">
      <alignment horizontal="right" shrinkToFit="0" vertical="center" wrapText="1"/>
    </xf>
    <xf borderId="16" fillId="2" fontId="12" numFmtId="38" xfId="0" applyAlignment="1" applyBorder="1" applyFont="1" applyNumberFormat="1">
      <alignment horizontal="left" shrinkToFit="0" vertical="top" wrapText="1"/>
    </xf>
    <xf borderId="0" fillId="0" fontId="13" numFmtId="0" xfId="0" applyAlignment="1" applyFont="1">
      <alignment horizontal="left" vertical="center"/>
    </xf>
    <xf borderId="15" fillId="6" fontId="14" numFmtId="0" xfId="0" applyAlignment="1" applyBorder="1" applyFill="1" applyFont="1">
      <alignment horizontal="center" vertical="center"/>
    </xf>
    <xf borderId="30" fillId="6" fontId="14" numFmtId="0" xfId="0" applyAlignment="1" applyBorder="1" applyFont="1">
      <alignment horizontal="center" vertical="center"/>
    </xf>
    <xf borderId="31" fillId="6" fontId="14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20" fillId="0" fontId="15" numFmtId="0" xfId="0" applyAlignment="1" applyBorder="1" applyFont="1">
      <alignment horizontal="right" vertical="center"/>
    </xf>
    <xf borderId="28" fillId="0" fontId="15" numFmtId="0" xfId="0" applyAlignment="1" applyBorder="1" applyFont="1">
      <alignment horizontal="left" vertical="center"/>
    </xf>
    <xf borderId="29" fillId="0" fontId="16" numFmtId="0" xfId="0" applyAlignment="1" applyBorder="1" applyFont="1">
      <alignment horizontal="right" readingOrder="0" vertical="center"/>
    </xf>
    <xf borderId="29" fillId="0" fontId="16" numFmtId="3" xfId="0" applyAlignment="1" applyBorder="1" applyFont="1" applyNumberFormat="1">
      <alignment horizontal="right" readingOrder="0" vertical="center"/>
    </xf>
    <xf borderId="27" fillId="0" fontId="2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center" vertical="center"/>
    </xf>
    <xf borderId="28" fillId="0" fontId="15" numFmtId="0" xfId="0" applyAlignment="1" applyBorder="1" applyFont="1">
      <alignment horizontal="left" readingOrder="0" vertical="center"/>
    </xf>
    <xf borderId="16" fillId="6" fontId="14" numFmtId="2" xfId="0" applyAlignment="1" applyBorder="1" applyFont="1" applyNumberFormat="1">
      <alignment horizontal="right" vertical="center"/>
    </xf>
    <xf borderId="34" fillId="6" fontId="17" numFmtId="0" xfId="0" applyAlignment="1" applyBorder="1" applyFont="1">
      <alignment horizontal="right" vertical="center"/>
    </xf>
    <xf borderId="34" fillId="6" fontId="17" numFmtId="3" xfId="0" applyAlignment="1" applyBorder="1" applyFont="1" applyNumberFormat="1">
      <alignment horizontal="right" vertical="center"/>
    </xf>
    <xf borderId="16" fillId="6" fontId="1" numFmtId="0" xfId="0" applyAlignment="1" applyBorder="1" applyFont="1">
      <alignment horizontal="center" vertical="center"/>
    </xf>
    <xf borderId="0" fillId="0" fontId="15" numFmtId="164" xfId="0" applyAlignment="1" applyFont="1" applyNumberFormat="1">
      <alignment vertical="center"/>
    </xf>
    <xf borderId="0" fillId="0" fontId="18" numFmtId="0" xfId="0" applyAlignment="1" applyFont="1">
      <alignment horizontal="center" vertical="center"/>
    </xf>
    <xf borderId="0" fillId="3" fontId="19" numFmtId="49" xfId="0" applyAlignment="1" applyFont="1" applyNumberFormat="1">
      <alignment vertical="center"/>
    </xf>
    <xf borderId="0" fillId="3" fontId="19" numFmtId="3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9" numFmtId="164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9" numFmtId="10" xfId="0" applyAlignment="1" applyFont="1" applyNumberFormat="1">
      <alignment vertical="center"/>
    </xf>
    <xf borderId="16" fillId="2" fontId="2" numFmtId="164" xfId="0" applyAlignment="1" applyBorder="1" applyFont="1" applyNumberFormat="1">
      <alignment horizontal="center" shrinkToFit="0" vertical="center" wrapText="1"/>
    </xf>
    <xf borderId="35" fillId="7" fontId="2" numFmtId="164" xfId="0" applyAlignment="1" applyBorder="1" applyFill="1" applyFont="1" applyNumberFormat="1">
      <alignment horizontal="center" vertical="center"/>
    </xf>
    <xf borderId="15" fillId="7" fontId="2" numFmtId="3" xfId="0" applyAlignment="1" applyBorder="1" applyFont="1" applyNumberFormat="1">
      <alignment horizontal="right" shrinkToFit="0" vertical="center" wrapText="1"/>
    </xf>
    <xf borderId="15" fillId="7" fontId="19" numFmtId="164" xfId="0" applyAlignment="1" applyBorder="1" applyFont="1" applyNumberFormat="1">
      <alignment vertical="center"/>
    </xf>
    <xf borderId="16" fillId="8" fontId="2" numFmtId="164" xfId="0" applyAlignment="1" applyBorder="1" applyFill="1" applyFont="1" applyNumberFormat="1">
      <alignment horizontal="center" vertical="center"/>
    </xf>
    <xf borderId="0" fillId="0" fontId="18" numFmtId="0" xfId="0" applyAlignment="1" applyFont="1">
      <alignment readingOrder="0" vertical="center"/>
    </xf>
    <xf borderId="36" fillId="9" fontId="20" numFmtId="0" xfId="0" applyAlignment="1" applyBorder="1" applyFill="1" applyFont="1">
      <alignment horizontal="center" readingOrder="0" shrinkToFit="0" vertical="center" wrapText="1"/>
    </xf>
    <xf borderId="37" fillId="9" fontId="20" numFmtId="0" xfId="0" applyAlignment="1" applyBorder="1" applyFont="1">
      <alignment horizontal="center" readingOrder="0" shrinkToFit="0" vertical="center" wrapText="1"/>
    </xf>
    <xf borderId="38" fillId="3" fontId="20" numFmtId="49" xfId="0" applyAlignment="1" applyBorder="1" applyFont="1" applyNumberFormat="1">
      <alignment vertical="center"/>
    </xf>
    <xf borderId="38" fillId="3" fontId="20" numFmtId="3" xfId="0" applyAlignment="1" applyBorder="1" applyFont="1" applyNumberFormat="1">
      <alignment vertical="center"/>
    </xf>
    <xf borderId="39" fillId="8" fontId="21" numFmtId="164" xfId="0" applyAlignment="1" applyBorder="1" applyFont="1" applyNumberFormat="1">
      <alignment horizontal="center" vertical="center"/>
    </xf>
    <xf borderId="40" fillId="0" fontId="3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  <xf borderId="42" fillId="8" fontId="20" numFmtId="164" xfId="0" applyAlignment="1" applyBorder="1" applyFont="1" applyNumberFormat="1">
      <alignment vertical="center"/>
    </xf>
    <xf borderId="0" fillId="0" fontId="19" numFmtId="4" xfId="0" applyAlignment="1" applyFont="1" applyNumberFormat="1">
      <alignment vertical="center"/>
    </xf>
    <xf borderId="15" fillId="7" fontId="1" numFmtId="4" xfId="0" applyAlignment="1" applyBorder="1" applyFont="1" applyNumberFormat="1">
      <alignment shrinkToFit="0" vertical="center" wrapText="1"/>
    </xf>
    <xf borderId="43" fillId="0" fontId="3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45" fillId="3" fontId="20" numFmtId="49" xfId="0" applyAlignment="1" applyBorder="1" applyFont="1" applyNumberFormat="1">
      <alignment horizontal="center" vertical="top"/>
    </xf>
    <xf borderId="45" fillId="3" fontId="20" numFmtId="3" xfId="0" applyAlignment="1" applyBorder="1" applyFont="1" applyNumberFormat="1">
      <alignment horizontal="center" vertical="top"/>
    </xf>
    <xf borderId="45" fillId="8" fontId="21" numFmtId="164" xfId="0" applyAlignment="1" applyBorder="1" applyFont="1" applyNumberFormat="1">
      <alignment horizontal="center" shrinkToFit="0" vertical="center" wrapText="1"/>
    </xf>
    <xf borderId="45" fillId="8" fontId="21" numFmtId="164" xfId="0" applyAlignment="1" applyBorder="1" applyFont="1" applyNumberFormat="1">
      <alignment horizontal="center" vertical="center"/>
    </xf>
    <xf borderId="46" fillId="8" fontId="21" numFmtId="164" xfId="0" applyAlignment="1" applyBorder="1" applyFont="1" applyNumberFormat="1">
      <alignment horizontal="center" vertical="center"/>
    </xf>
    <xf borderId="47" fillId="0" fontId="20" numFmtId="0" xfId="0" applyAlignment="1" applyBorder="1" applyFont="1">
      <alignment horizontal="center" readingOrder="0" shrinkToFit="0" vertical="center" wrapText="1"/>
    </xf>
    <xf borderId="45" fillId="0" fontId="20" numFmtId="0" xfId="0" applyAlignment="1" applyBorder="1" applyFont="1">
      <alignment horizontal="center" readingOrder="0" shrinkToFit="0" vertical="center" wrapText="1"/>
    </xf>
    <xf borderId="45" fillId="0" fontId="20" numFmtId="0" xfId="0" applyAlignment="1" applyBorder="1" applyFont="1">
      <alignment readingOrder="0" shrinkToFit="0" vertical="center" wrapText="1"/>
    </xf>
    <xf borderId="45" fillId="0" fontId="20" numFmtId="0" xfId="0" applyAlignment="1" applyBorder="1" applyFont="1">
      <alignment horizontal="right" readingOrder="0" shrinkToFit="0" vertical="center" wrapText="1"/>
    </xf>
    <xf borderId="45" fillId="0" fontId="20" numFmtId="164" xfId="0" applyAlignment="1" applyBorder="1" applyFont="1" applyNumberFormat="1">
      <alignment vertical="center"/>
    </xf>
    <xf borderId="45" fillId="0" fontId="20" numFmtId="3" xfId="0" applyAlignment="1" applyBorder="1" applyFont="1" applyNumberFormat="1">
      <alignment horizontal="right" shrinkToFit="0" vertical="center" wrapText="1"/>
    </xf>
    <xf borderId="45" fillId="0" fontId="20" numFmtId="168" xfId="0" applyAlignment="1" applyBorder="1" applyFont="1" applyNumberFormat="1">
      <alignment horizontal="right" shrinkToFit="0" vertical="center" wrapText="1"/>
    </xf>
    <xf borderId="46" fillId="0" fontId="20" numFmtId="169" xfId="0" applyAlignment="1" applyBorder="1" applyFont="1" applyNumberFormat="1">
      <alignment vertical="center"/>
    </xf>
    <xf borderId="0" fillId="0" fontId="1" numFmtId="164" xfId="0" applyAlignment="1" applyFont="1" applyNumberFormat="1">
      <alignment shrinkToFit="0" vertical="center" wrapText="1"/>
    </xf>
    <xf borderId="15" fillId="7" fontId="1" numFmtId="4" xfId="0" applyAlignment="1" applyBorder="1" applyFont="1" applyNumberFormat="1">
      <alignment readingOrder="0" shrinkToFit="0" vertical="center" wrapText="1"/>
    </xf>
    <xf borderId="48" fillId="10" fontId="21" numFmtId="0" xfId="0" applyAlignment="1" applyBorder="1" applyFill="1" applyFont="1">
      <alignment horizontal="right" readingOrder="0" vertical="center"/>
    </xf>
    <xf borderId="49" fillId="0" fontId="3" numFmtId="0" xfId="0" applyAlignment="1" applyBorder="1" applyFont="1">
      <alignment vertical="center"/>
    </xf>
    <xf borderId="50" fillId="0" fontId="3" numFmtId="0" xfId="0" applyAlignment="1" applyBorder="1" applyFont="1">
      <alignment vertical="center"/>
    </xf>
    <xf borderId="51" fillId="10" fontId="20" numFmtId="164" xfId="0" applyAlignment="1" applyBorder="1" applyFont="1" applyNumberFormat="1">
      <alignment vertical="center"/>
    </xf>
    <xf borderId="51" fillId="10" fontId="21" numFmtId="3" xfId="0" applyAlignment="1" applyBorder="1" applyFont="1" applyNumberFormat="1">
      <alignment horizontal="right" vertical="center"/>
    </xf>
    <xf borderId="51" fillId="10" fontId="20" numFmtId="3" xfId="0" applyAlignment="1" applyBorder="1" applyFont="1" applyNumberFormat="1">
      <alignment vertical="center"/>
    </xf>
    <xf borderId="52" fillId="10" fontId="21" numFmtId="170" xfId="0" applyAlignment="1" applyBorder="1" applyFont="1" applyNumberFormat="1">
      <alignment horizontal="right" vertical="center"/>
    </xf>
    <xf borderId="23" fillId="0" fontId="22" numFmtId="2" xfId="0" applyAlignment="1" applyBorder="1" applyFont="1" applyNumberFormat="1">
      <alignment vertical="bottom"/>
    </xf>
    <xf borderId="23" fillId="0" fontId="1" numFmtId="2" xfId="0" applyAlignment="1" applyBorder="1" applyFont="1" applyNumberFormat="1">
      <alignment vertical="bottom"/>
    </xf>
    <xf borderId="23" fillId="0" fontId="1" numFmtId="1" xfId="0" applyAlignment="1" applyBorder="1" applyFont="1" applyNumberFormat="1">
      <alignment vertical="bottom"/>
    </xf>
    <xf borderId="23" fillId="0" fontId="1" numFmtId="164" xfId="0" applyAlignment="1" applyBorder="1" applyFont="1" applyNumberFormat="1">
      <alignment vertical="bottom"/>
    </xf>
    <xf borderId="0" fillId="0" fontId="13" numFmtId="0" xfId="0" applyAlignment="1" applyFont="1">
      <alignment vertical="center"/>
    </xf>
    <xf borderId="19" fillId="11" fontId="2" numFmtId="1" xfId="0" applyAlignment="1" applyBorder="1" applyFill="1" applyFont="1" applyNumberFormat="1">
      <alignment horizontal="center" vertical="center"/>
    </xf>
    <xf borderId="19" fillId="11" fontId="2" numFmtId="2" xfId="0" applyAlignment="1" applyBorder="1" applyFont="1" applyNumberFormat="1">
      <alignment horizontal="center" vertical="center"/>
    </xf>
    <xf borderId="19" fillId="11" fontId="2" numFmtId="0" xfId="0" applyAlignment="1" applyBorder="1" applyFont="1">
      <alignment horizontal="center" vertical="center"/>
    </xf>
    <xf borderId="53" fillId="11" fontId="23" numFmtId="0" xfId="0" applyAlignment="1" applyBorder="1" applyFont="1">
      <alignment horizontal="center" vertical="center"/>
    </xf>
    <xf borderId="54" fillId="0" fontId="3" numFmtId="0" xfId="0" applyAlignment="1" applyBorder="1" applyFont="1">
      <alignment vertical="center"/>
    </xf>
    <xf borderId="16" fillId="11" fontId="23" numFmtId="0" xfId="0" applyAlignment="1" applyBorder="1" applyFont="1">
      <alignment horizontal="center" vertical="center"/>
    </xf>
    <xf borderId="30" fillId="11" fontId="23" numFmtId="0" xfId="0" applyAlignment="1" applyBorder="1" applyFont="1">
      <alignment horizontal="center" vertical="center"/>
    </xf>
    <xf quotePrefix="1" borderId="16" fillId="11" fontId="23" numFmtId="0" xfId="0" applyAlignment="1" applyBorder="1" applyFont="1">
      <alignment horizontal="center" vertical="center"/>
    </xf>
    <xf borderId="0" fillId="0" fontId="1" numFmtId="2" xfId="0" applyAlignment="1" applyFont="1" applyNumberFormat="1">
      <alignment vertical="bottom"/>
    </xf>
    <xf quotePrefix="1" borderId="55" fillId="11" fontId="23" numFmtId="0" xfId="0" applyAlignment="1" applyBorder="1" applyFont="1">
      <alignment horizontal="left" vertical="center"/>
    </xf>
    <xf borderId="55" fillId="11" fontId="23" numFmtId="0" xfId="0" applyAlignment="1" applyBorder="1" applyFont="1">
      <alignment horizontal="left" vertical="center"/>
    </xf>
    <xf quotePrefix="1" borderId="15" fillId="11" fontId="23" numFmtId="0" xfId="0" applyAlignment="1" applyBorder="1" applyFont="1">
      <alignment horizontal="left" vertical="center"/>
    </xf>
    <xf borderId="15" fillId="11" fontId="23" numFmtId="0" xfId="0" applyAlignment="1" applyBorder="1" applyFont="1">
      <alignment horizontal="left" vertical="center"/>
    </xf>
    <xf borderId="16" fillId="7" fontId="24" numFmtId="2" xfId="0" applyAlignment="1" applyBorder="1" applyFont="1" applyNumberFormat="1">
      <alignment horizontal="center" vertical="center"/>
    </xf>
    <xf borderId="15" fillId="7" fontId="2" numFmtId="0" xfId="0" applyAlignment="1" applyBorder="1" applyFont="1">
      <alignment horizontal="center" vertical="center"/>
    </xf>
    <xf borderId="15" fillId="7" fontId="13" numFmtId="0" xfId="0" applyAlignment="1" applyBorder="1" applyFont="1">
      <alignment horizontal="center" vertical="center"/>
    </xf>
    <xf borderId="15" fillId="12" fontId="23" numFmtId="1" xfId="0" applyAlignment="1" applyBorder="1" applyFill="1" applyFont="1" applyNumberFormat="1">
      <alignment horizontal="right" vertical="center"/>
    </xf>
    <xf borderId="22" fillId="12" fontId="25" numFmtId="2" xfId="0" applyAlignment="1" applyBorder="1" applyFont="1" applyNumberFormat="1">
      <alignment horizontal="left" shrinkToFit="0" vertical="top" wrapText="1"/>
    </xf>
    <xf borderId="56" fillId="12" fontId="26" numFmtId="2" xfId="0" applyAlignment="1" applyBorder="1" applyFont="1" applyNumberFormat="1">
      <alignment horizontal="left" shrinkToFit="0" vertical="center" wrapText="1"/>
    </xf>
    <xf borderId="15" fillId="12" fontId="26" numFmtId="0" xfId="0" applyAlignment="1" applyBorder="1" applyFont="1">
      <alignment horizontal="left" vertical="center"/>
    </xf>
    <xf borderId="15" fillId="12" fontId="1" numFmtId="164" xfId="0" applyAlignment="1" applyBorder="1" applyFont="1" applyNumberFormat="1">
      <alignment vertical="bottom"/>
    </xf>
    <xf borderId="31" fillId="12" fontId="26" numFmtId="2" xfId="0" applyAlignment="1" applyBorder="1" applyFont="1" applyNumberFormat="1">
      <alignment horizontal="left" shrinkToFit="0" vertical="center" wrapText="1"/>
    </xf>
    <xf borderId="57" fillId="0" fontId="3" numFmtId="0" xfId="0" applyAlignment="1" applyBorder="1" applyFont="1">
      <alignment vertical="center"/>
    </xf>
    <xf borderId="58" fillId="0" fontId="3" numFmtId="0" xfId="0" applyAlignment="1" applyBorder="1" applyFont="1">
      <alignment vertical="center"/>
    </xf>
    <xf borderId="15" fillId="0" fontId="23" numFmtId="1" xfId="0" applyAlignment="1" applyBorder="1" applyFont="1" applyNumberFormat="1">
      <alignment horizontal="right" vertical="center"/>
    </xf>
    <xf quotePrefix="1" borderId="19" fillId="0" fontId="27" numFmtId="0" xfId="0" applyAlignment="1" applyBorder="1" applyFont="1">
      <alignment horizontal="left" readingOrder="0" shrinkToFit="0" vertical="top" wrapText="1"/>
    </xf>
    <xf borderId="19" fillId="0" fontId="27" numFmtId="1" xfId="0" applyAlignment="1" applyBorder="1" applyFont="1" applyNumberFormat="1">
      <alignment horizontal="left" shrinkToFit="0" vertical="top" wrapText="1"/>
    </xf>
    <xf borderId="15" fillId="0" fontId="26" numFmtId="2" xfId="0" applyAlignment="1" applyBorder="1" applyFont="1" applyNumberFormat="1">
      <alignment horizontal="left" shrinkToFit="0" vertical="center" wrapText="1"/>
    </xf>
    <xf borderId="15" fillId="0" fontId="26" numFmtId="0" xfId="0" applyAlignment="1" applyBorder="1" applyFont="1">
      <alignment horizontal="left" vertical="center"/>
    </xf>
    <xf borderId="15" fillId="0" fontId="1" numFmtId="164" xfId="0" applyAlignment="1" applyBorder="1" applyFont="1" applyNumberFormat="1">
      <alignment vertical="bottom"/>
    </xf>
    <xf borderId="15" fillId="0" fontId="23" numFmtId="1" xfId="0" applyAlignment="1" applyBorder="1" applyFont="1" applyNumberFormat="1">
      <alignment horizontal="right" readingOrder="0" vertical="center"/>
    </xf>
    <xf quotePrefix="1" borderId="19" fillId="0" fontId="27" numFmtId="1" xfId="0" applyAlignment="1" applyBorder="1" applyFont="1" applyNumberFormat="1">
      <alignment horizontal="left" shrinkToFit="0" vertical="top" wrapText="1"/>
    </xf>
    <xf borderId="19" fillId="0" fontId="26" numFmtId="2" xfId="0" applyAlignment="1" applyBorder="1" applyFont="1" applyNumberFormat="1">
      <alignment horizontal="left" shrinkToFit="0" vertical="center" wrapText="1"/>
    </xf>
    <xf borderId="18" fillId="0" fontId="26" numFmtId="0" xfId="0" applyAlignment="1" applyBorder="1" applyFont="1">
      <alignment horizontal="left" vertical="center"/>
    </xf>
    <xf borderId="31" fillId="7" fontId="26" numFmtId="2" xfId="0" applyAlignment="1" applyBorder="1" applyFont="1" applyNumberFormat="1">
      <alignment horizontal="left" shrinkToFit="0" vertical="center" wrapText="1"/>
    </xf>
    <xf borderId="0" fillId="0" fontId="1" numFmtId="1" xfId="0" applyAlignment="1" applyFont="1" applyNumberFormat="1">
      <alignment vertical="bottom"/>
    </xf>
    <xf borderId="0" fillId="0" fontId="28" numFmtId="0" xfId="0" applyAlignment="1" applyFont="1">
      <alignment vertical="center"/>
    </xf>
    <xf borderId="16" fillId="11" fontId="29" numFmtId="0" xfId="0" applyAlignment="1" applyBorder="1" applyFont="1">
      <alignment shrinkToFit="0" vertical="center" wrapText="1"/>
    </xf>
    <xf borderId="0" fillId="0" fontId="30" numFmtId="164" xfId="0" applyAlignment="1" applyFont="1" applyNumberFormat="1">
      <alignment vertical="bottom"/>
    </xf>
    <xf borderId="0" fillId="0" fontId="31" numFmtId="164" xfId="0" applyAlignment="1" applyFont="1" applyNumberFormat="1">
      <alignment vertical="bottom"/>
    </xf>
    <xf borderId="15" fillId="9" fontId="28" numFmtId="0" xfId="0" applyAlignment="1" applyBorder="1" applyFont="1">
      <alignment horizontal="center" shrinkToFit="0" vertical="center" wrapText="1"/>
    </xf>
    <xf borderId="16" fillId="9" fontId="28" numFmtId="0" xfId="0" applyAlignment="1" applyBorder="1" applyFont="1">
      <alignment horizontal="center" shrinkToFit="0" vertical="center" wrapText="1"/>
    </xf>
    <xf borderId="15" fillId="7" fontId="28" numFmtId="2" xfId="0" applyAlignment="1" applyBorder="1" applyFont="1" applyNumberFormat="1">
      <alignment shrinkToFit="0" vertical="center" wrapText="1"/>
    </xf>
    <xf borderId="15" fillId="13" fontId="32" numFmtId="0" xfId="0" applyAlignment="1" applyBorder="1" applyFill="1" applyFont="1">
      <alignment shrinkToFit="0" vertical="center" wrapText="1"/>
    </xf>
    <xf borderId="16" fillId="13" fontId="32" numFmtId="0" xfId="0" applyAlignment="1" applyBorder="1" applyFont="1">
      <alignment shrinkToFit="0" vertical="center" wrapText="1"/>
    </xf>
    <xf borderId="0" fillId="0" fontId="30" numFmtId="164" xfId="0" applyAlignment="1" applyFont="1" applyNumberFormat="1">
      <alignment vertical="center"/>
    </xf>
    <xf borderId="15" fillId="7" fontId="28" numFmtId="0" xfId="0" applyAlignment="1" applyBorder="1" applyFont="1">
      <alignment shrinkToFit="0" vertical="center" wrapText="1"/>
    </xf>
    <xf borderId="15" fillId="0" fontId="28" numFmtId="0" xfId="0" applyAlignment="1" applyBorder="1" applyFont="1">
      <alignment shrinkToFit="0" vertical="center" wrapText="1"/>
    </xf>
    <xf borderId="16" fillId="0" fontId="28" numFmtId="0" xfId="0" applyAlignment="1" applyBorder="1" applyFont="1">
      <alignment shrinkToFit="0" vertical="center" wrapText="1"/>
    </xf>
    <xf borderId="0" fillId="0" fontId="31" numFmtId="164" xfId="0" applyAlignment="1" applyFont="1" applyNumberFormat="1">
      <alignment vertical="center"/>
    </xf>
    <xf borderId="15" fillId="7" fontId="31" numFmtId="0" xfId="0" applyAlignment="1" applyBorder="1" applyFont="1">
      <alignment vertical="center"/>
    </xf>
    <xf borderId="0" fillId="0" fontId="30" numFmtId="164" xfId="0" applyAlignment="1" applyFont="1" applyNumberFormat="1">
      <alignment shrinkToFit="0" vertical="center" wrapText="1"/>
    </xf>
    <xf borderId="15" fillId="0" fontId="28" numFmtId="0" xfId="0" applyAlignment="1" applyBorder="1" applyFont="1">
      <alignment horizontal="center" shrinkToFit="0" vertical="center" wrapText="1"/>
    </xf>
    <xf borderId="15" fillId="0" fontId="28" numFmtId="0" xfId="0" applyAlignment="1" applyBorder="1" applyFont="1">
      <alignment vertical="center"/>
    </xf>
    <xf borderId="15" fillId="4" fontId="28" numFmtId="0" xfId="0" applyAlignment="1" applyBorder="1" applyFont="1">
      <alignment shrinkToFit="0" vertical="center" wrapText="1"/>
    </xf>
    <xf borderId="15" fillId="4" fontId="33" numFmtId="0" xfId="0" applyAlignment="1" applyBorder="1" applyFont="1">
      <alignment shrinkToFit="0" vertical="center" wrapText="1"/>
    </xf>
    <xf borderId="16" fillId="0" fontId="28" numFmtId="0" xfId="0" applyAlignment="1" applyBorder="1" applyFont="1">
      <alignment horizontal="left" shrinkToFit="0" vertical="center" wrapText="1"/>
    </xf>
    <xf borderId="16" fillId="14" fontId="34" numFmtId="0" xfId="0" applyAlignment="1" applyBorder="1" applyFill="1" applyFont="1">
      <alignment horizontal="right" vertical="center"/>
    </xf>
    <xf borderId="15" fillId="14" fontId="34" numFmtId="0" xfId="0" applyAlignment="1" applyBorder="1" applyFont="1">
      <alignment vertical="center"/>
    </xf>
    <xf borderId="16" fillId="9" fontId="28" numFmtId="0" xfId="0" applyAlignment="1" applyBorder="1" applyFont="1">
      <alignment horizontal="left" shrinkToFit="0" vertical="center" wrapText="1"/>
    </xf>
    <xf borderId="15" fillId="13" fontId="32" numFmtId="2" xfId="0" applyAlignment="1" applyBorder="1" applyFont="1" applyNumberFormat="1">
      <alignment shrinkToFit="0" vertical="center" wrapText="1"/>
    </xf>
    <xf borderId="16" fillId="0" fontId="28" numFmtId="0" xfId="0" applyAlignment="1" applyBorder="1" applyFont="1">
      <alignment horizontal="right" shrinkToFit="0" vertical="center" wrapText="1"/>
    </xf>
    <xf borderId="15" fillId="0" fontId="28" numFmtId="2" xfId="0" applyAlignment="1" applyBorder="1" applyFont="1" applyNumberFormat="1">
      <alignment shrinkToFit="0" vertical="center" wrapText="1"/>
    </xf>
    <xf borderId="15" fillId="13" fontId="32" numFmtId="4" xfId="0" applyAlignment="1" applyBorder="1" applyFont="1" applyNumberFormat="1">
      <alignment shrinkToFit="0" vertical="center" wrapText="1"/>
    </xf>
    <xf borderId="15" fillId="0" fontId="28" numFmtId="4" xfId="0" applyAlignment="1" applyBorder="1" applyFont="1" applyNumberFormat="1">
      <alignment shrinkToFit="0" vertical="center" wrapText="1"/>
    </xf>
    <xf borderId="15" fillId="14" fontId="34" numFmtId="2" xfId="0" applyAlignment="1" applyBorder="1" applyFont="1" applyNumberFormat="1">
      <alignment vertical="center"/>
    </xf>
    <xf borderId="0" fillId="0" fontId="35" numFmtId="164" xfId="0" applyAlignment="1" applyFont="1" applyNumberFormat="1">
      <alignment vertical="center"/>
    </xf>
    <xf borderId="59" fillId="0" fontId="36" numFmtId="164" xfId="0" applyAlignment="1" applyBorder="1" applyFont="1" applyNumberFormat="1">
      <alignment vertical="center"/>
    </xf>
    <xf borderId="60" fillId="0" fontId="12" numFmtId="164" xfId="0" applyAlignment="1" applyBorder="1" applyFont="1" applyNumberFormat="1">
      <alignment vertical="center"/>
    </xf>
    <xf borderId="60" fillId="0" fontId="36" numFmtId="164" xfId="0" applyAlignment="1" applyBorder="1" applyFont="1" applyNumberFormat="1">
      <alignment vertical="center"/>
    </xf>
    <xf borderId="61" fillId="0" fontId="36" numFmtId="164" xfId="0" applyAlignment="1" applyBorder="1" applyFont="1" applyNumberFormat="1">
      <alignment vertical="center"/>
    </xf>
    <xf borderId="0" fillId="0" fontId="36" numFmtId="164" xfId="0" applyAlignment="1" applyFont="1" applyNumberFormat="1">
      <alignment vertical="center"/>
    </xf>
    <xf borderId="4" fillId="0" fontId="36" numFmtId="164" xfId="0" applyAlignment="1" applyBorder="1" applyFont="1" applyNumberFormat="1">
      <alignment vertical="center"/>
    </xf>
    <xf borderId="8" fillId="0" fontId="36" numFmtId="164" xfId="0" applyAlignment="1" applyBorder="1" applyFont="1" applyNumberFormat="1">
      <alignment vertical="center"/>
    </xf>
    <xf borderId="16" fillId="7" fontId="12" numFmtId="164" xfId="0" applyAlignment="1" applyBorder="1" applyFont="1" applyNumberFormat="1">
      <alignment horizontal="center" vertical="center"/>
    </xf>
    <xf borderId="16" fillId="15" fontId="12" numFmtId="164" xfId="0" applyAlignment="1" applyBorder="1" applyFill="1" applyFont="1" applyNumberFormat="1">
      <alignment horizontal="center" vertical="center"/>
    </xf>
    <xf borderId="22" fillId="0" fontId="37" numFmtId="164" xfId="0" applyAlignment="1" applyBorder="1" applyFont="1" applyNumberFormat="1">
      <alignment horizontal="center" vertical="center"/>
    </xf>
    <xf borderId="62" fillId="0" fontId="36" numFmtId="164" xfId="0" applyAlignment="1" applyBorder="1" applyFont="1" applyNumberFormat="1">
      <alignment vertical="center"/>
    </xf>
    <xf borderId="0" fillId="0" fontId="36" numFmtId="0" xfId="0" applyAlignment="1" applyFont="1">
      <alignment vertical="center"/>
    </xf>
    <xf borderId="0" fillId="0" fontId="38" numFmtId="164" xfId="0" applyAlignment="1" applyFont="1" applyNumberFormat="1">
      <alignment vertical="center"/>
    </xf>
    <xf borderId="0" fillId="0" fontId="36" numFmtId="164" xfId="0" applyAlignment="1" applyFont="1" applyNumberFormat="1">
      <alignment shrinkToFit="0" vertical="center" wrapText="1"/>
    </xf>
    <xf borderId="0" fillId="0" fontId="12" numFmtId="0" xfId="0" applyAlignment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16" fillId="16" fontId="39" numFmtId="0" xfId="0" applyAlignment="1" applyBorder="1" applyFill="1" applyFont="1">
      <alignment horizontal="center" vertical="center"/>
    </xf>
    <xf borderId="27" fillId="0" fontId="36" numFmtId="164" xfId="0" applyAlignment="1" applyBorder="1" applyFont="1" applyNumberFormat="1">
      <alignment vertical="center"/>
    </xf>
    <xf borderId="22" fillId="0" fontId="37" numFmtId="0" xfId="0" applyAlignment="1" applyBorder="1" applyFont="1">
      <alignment horizontal="center" readingOrder="0" vertical="center"/>
    </xf>
    <xf borderId="0" fillId="0" fontId="40" numFmtId="164" xfId="0" applyAlignment="1" applyFont="1" applyNumberFormat="1">
      <alignment vertical="center"/>
    </xf>
    <xf borderId="16" fillId="17" fontId="12" numFmtId="164" xfId="0" applyAlignment="1" applyBorder="1" applyFill="1" applyFont="1" applyNumberFormat="1">
      <alignment horizontal="center" shrinkToFit="0" vertical="center" wrapText="1"/>
    </xf>
    <xf borderId="27" fillId="0" fontId="36" numFmtId="0" xfId="0" applyAlignment="1" applyBorder="1" applyFont="1">
      <alignment vertical="center"/>
    </xf>
    <xf borderId="16" fillId="17" fontId="12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8" fillId="0" fontId="35" numFmtId="164" xfId="0" applyAlignment="1" applyBorder="1" applyFont="1" applyNumberFormat="1">
      <alignment vertical="center"/>
    </xf>
    <xf borderId="22" fillId="0" fontId="37" numFmtId="0" xfId="0" applyAlignment="1" applyBorder="1" applyFont="1">
      <alignment horizontal="center" readingOrder="0" shrinkToFit="0" vertical="center" wrapText="1"/>
    </xf>
    <xf borderId="22" fillId="0" fontId="35" numFmtId="164" xfId="0" applyAlignment="1" applyBorder="1" applyFont="1" applyNumberFormat="1">
      <alignment vertical="center"/>
    </xf>
    <xf borderId="25" fillId="0" fontId="36" numFmtId="16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26" fillId="0" fontId="36" numFmtId="164" xfId="0" applyAlignment="1" applyBorder="1" applyFont="1" applyNumberFormat="1">
      <alignment vertical="center"/>
    </xf>
    <xf borderId="0" fillId="0" fontId="40" numFmtId="164" xfId="0" applyAlignment="1" applyFont="1" applyNumberFormat="1">
      <alignment horizontal="right" vertical="center"/>
    </xf>
    <xf borderId="25" fillId="0" fontId="35" numFmtId="164" xfId="0" applyAlignment="1" applyBorder="1" applyFont="1" applyNumberFormat="1">
      <alignment vertical="center"/>
    </xf>
    <xf borderId="28" fillId="0" fontId="12" numFmtId="0" xfId="0" applyAlignment="1" applyBorder="1" applyFont="1">
      <alignment horizontal="center" vertical="center"/>
    </xf>
    <xf borderId="29" fillId="0" fontId="36" numFmtId="164" xfId="0" applyAlignment="1" applyBorder="1" applyFont="1" applyNumberFormat="1">
      <alignment vertical="center"/>
    </xf>
    <xf borderId="0" fillId="0" fontId="41" numFmtId="0" xfId="0" applyAlignment="1" applyFont="1">
      <alignment shrinkToFit="0" vertical="center" wrapText="1"/>
    </xf>
    <xf borderId="20" fillId="0" fontId="36" numFmtId="164" xfId="0" applyAlignment="1" applyBorder="1" applyFont="1" applyNumberFormat="1">
      <alignment vertical="center"/>
    </xf>
    <xf borderId="16" fillId="18" fontId="12" numFmtId="164" xfId="0" applyAlignment="1" applyBorder="1" applyFill="1" applyFont="1" applyNumberFormat="1">
      <alignment horizontal="center" vertical="center"/>
    </xf>
    <xf borderId="22" fillId="19" fontId="37" numFmtId="0" xfId="0" applyAlignment="1" applyBorder="1" applyFill="1" applyFont="1">
      <alignment horizontal="center" readingOrder="0" shrinkToFit="0" vertical="center" wrapText="1"/>
    </xf>
    <xf borderId="0" fillId="0" fontId="42" numFmtId="164" xfId="0" applyAlignment="1" applyFont="1" applyNumberFormat="1">
      <alignment vertical="center"/>
    </xf>
    <xf borderId="20" fillId="0" fontId="35" numFmtId="164" xfId="0" applyAlignment="1" applyBorder="1" applyFont="1" applyNumberFormat="1">
      <alignment vertical="center"/>
    </xf>
    <xf borderId="0" fillId="0" fontId="36" numFmtId="0" xfId="0" applyAlignment="1" applyFont="1">
      <alignment horizontal="center" vertical="center"/>
    </xf>
    <xf borderId="25" fillId="0" fontId="36" numFmtId="0" xfId="0" applyAlignment="1" applyBorder="1" applyFont="1">
      <alignment horizontal="center" vertical="center"/>
    </xf>
    <xf borderId="0" fillId="0" fontId="12" numFmtId="164" xfId="0" applyAlignment="1" applyFont="1" applyNumberFormat="1">
      <alignment vertical="center"/>
    </xf>
    <xf borderId="0" fillId="0" fontId="36" numFmtId="164" xfId="0" applyAlignment="1" applyFont="1" applyNumberFormat="1">
      <alignment horizontal="left" shrinkToFit="0" vertical="top" wrapText="1"/>
    </xf>
    <xf borderId="15" fillId="19" fontId="36" numFmtId="164" xfId="0" applyAlignment="1" applyBorder="1" applyFont="1" applyNumberFormat="1">
      <alignment vertical="center"/>
    </xf>
    <xf borderId="63" fillId="0" fontId="36" numFmtId="164" xfId="0" applyAlignment="1" applyBorder="1" applyFont="1" applyNumberFormat="1">
      <alignment vertical="center"/>
    </xf>
    <xf borderId="64" fillId="0" fontId="36" numFmtId="164" xfId="0" applyAlignment="1" applyBorder="1" applyFont="1" applyNumberFormat="1">
      <alignment vertical="center"/>
    </xf>
    <xf borderId="65" fillId="0" fontId="36" numFmtId="164" xfId="0" applyAlignment="1" applyBorder="1" applyFont="1" applyNumberFormat="1">
      <alignment vertical="center"/>
    </xf>
    <xf borderId="0" fillId="0" fontId="43" numFmtId="0" xfId="0" applyAlignment="1" applyFont="1">
      <alignment vertical="center"/>
    </xf>
    <xf borderId="0" fillId="0" fontId="44" numFmtId="0" xfId="0" applyAlignment="1" applyFont="1">
      <alignment readingOrder="0" vertical="center"/>
    </xf>
    <xf borderId="15" fillId="9" fontId="44" numFmtId="0" xfId="0" applyAlignment="1" applyBorder="1" applyFont="1">
      <alignment horizontal="center" readingOrder="0" vertical="center"/>
    </xf>
    <xf borderId="0" fillId="0" fontId="43" numFmtId="0" xfId="0" applyAlignment="1" applyFont="1">
      <alignment readingOrder="0" vertical="center"/>
    </xf>
    <xf borderId="15" fillId="0" fontId="43" numFmtId="0" xfId="0" applyAlignment="1" applyBorder="1" applyFont="1">
      <alignment horizontal="center" readingOrder="0" vertical="center"/>
    </xf>
    <xf borderId="15" fillId="0" fontId="43" numFmtId="0" xfId="0" applyAlignment="1" applyBorder="1" applyFont="1">
      <alignment horizontal="left" readingOrder="0" vertical="center"/>
    </xf>
    <xf borderId="15" fillId="0" fontId="43" numFmtId="0" xfId="0" applyAlignment="1" applyBorder="1" applyFont="1">
      <alignment horizontal="left" readingOrder="0" shrinkToFit="0" vertical="center" wrapText="1"/>
    </xf>
    <xf borderId="0" fillId="0" fontId="43" numFmtId="0" xfId="0" applyAlignment="1" applyFont="1">
      <alignment horizontal="center" readingOrder="0" vertical="center"/>
    </xf>
    <xf borderId="0" fillId="0" fontId="43" numFmtId="0" xfId="0" applyAlignment="1" applyFont="1">
      <alignment horizontal="left" readingOrder="0" vertical="center"/>
    </xf>
    <xf borderId="0" fillId="0" fontId="4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</xdr:row>
      <xdr:rowOff>180975</xdr:rowOff>
    </xdr:from>
    <xdr:ext cx="16487775" cy="10982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-190500</xdr:rowOff>
    </xdr:from>
    <xdr:ext cx="14439900" cy="94202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6</xdr:row>
      <xdr:rowOff>76200</xdr:rowOff>
    </xdr:from>
    <xdr:ext cx="933450" cy="742950"/>
    <xdr:sp>
      <xdr:nvSpPr>
        <xdr:cNvPr id="3" name="Shape 3"/>
        <xdr:cNvSpPr/>
      </xdr:nvSpPr>
      <xdr:spPr>
        <a:xfrm>
          <a:off x="4903088" y="3432338"/>
          <a:ext cx="885825" cy="695325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19050</xdr:colOff>
      <xdr:row>7</xdr:row>
      <xdr:rowOff>85725</xdr:rowOff>
    </xdr:from>
    <xdr:ext cx="942975" cy="733425"/>
    <xdr:sp>
      <xdr:nvSpPr>
        <xdr:cNvPr id="4" name="Shape 4"/>
        <xdr:cNvSpPr/>
      </xdr:nvSpPr>
      <xdr:spPr>
        <a:xfrm>
          <a:off x="4898325" y="3437100"/>
          <a:ext cx="895350" cy="685800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209550</xdr:colOff>
      <xdr:row>8</xdr:row>
      <xdr:rowOff>47625</xdr:rowOff>
    </xdr:from>
    <xdr:ext cx="1676400" cy="733425"/>
    <xdr:sp>
      <xdr:nvSpPr>
        <xdr:cNvPr id="5" name="Shape 5"/>
        <xdr:cNvSpPr/>
      </xdr:nvSpPr>
      <xdr:spPr>
        <a:xfrm>
          <a:off x="4526850" y="3437100"/>
          <a:ext cx="1638300" cy="685800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28575</xdr:colOff>
      <xdr:row>10</xdr:row>
      <xdr:rowOff>76200</xdr:rowOff>
    </xdr:from>
    <xdr:ext cx="3524250" cy="714375"/>
    <xdr:sp>
      <xdr:nvSpPr>
        <xdr:cNvPr id="6" name="Shape 6"/>
        <xdr:cNvSpPr/>
      </xdr:nvSpPr>
      <xdr:spPr>
        <a:xfrm>
          <a:off x="4288725" y="3432350"/>
          <a:ext cx="3115200" cy="695400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0</xdr:colOff>
      <xdr:row>9</xdr:row>
      <xdr:rowOff>38100</xdr:rowOff>
    </xdr:from>
    <xdr:ext cx="1209675" cy="752475"/>
    <xdr:sp>
      <xdr:nvSpPr>
        <xdr:cNvPr id="7" name="Shape 7"/>
        <xdr:cNvSpPr/>
      </xdr:nvSpPr>
      <xdr:spPr>
        <a:xfrm>
          <a:off x="4760213" y="3427575"/>
          <a:ext cx="1171575" cy="704850"/>
        </a:xfrm>
        <a:prstGeom prst="homePlate">
          <a:avLst>
            <a:gd fmla="val 16667" name="adj"/>
          </a:avLst>
        </a:prstGeom>
        <a:solidFill>
          <a:srgbClr val="FABF8E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457200</xdr:colOff>
      <xdr:row>11</xdr:row>
      <xdr:rowOff>76200</xdr:rowOff>
    </xdr:from>
    <xdr:ext cx="552450" cy="752475"/>
    <xdr:sp>
      <xdr:nvSpPr>
        <xdr:cNvPr id="8" name="Shape 8"/>
        <xdr:cNvSpPr/>
      </xdr:nvSpPr>
      <xdr:spPr>
        <a:xfrm>
          <a:off x="5093588" y="3427575"/>
          <a:ext cx="504825" cy="704850"/>
        </a:xfrm>
        <a:prstGeom prst="homePlate">
          <a:avLst>
            <a:gd fmla="val 16667" name="adj"/>
          </a:avLst>
        </a:prstGeom>
        <a:solidFill>
          <a:srgbClr val="FABF8E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971550</xdr:colOff>
      <xdr:row>11</xdr:row>
      <xdr:rowOff>76200</xdr:rowOff>
    </xdr:from>
    <xdr:ext cx="733425" cy="742950"/>
    <xdr:sp>
      <xdr:nvSpPr>
        <xdr:cNvPr id="9" name="Shape 9"/>
        <xdr:cNvSpPr/>
      </xdr:nvSpPr>
      <xdr:spPr>
        <a:xfrm>
          <a:off x="5003100" y="3432338"/>
          <a:ext cx="685800" cy="695325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304800</xdr:colOff>
      <xdr:row>12</xdr:row>
      <xdr:rowOff>95250</xdr:rowOff>
    </xdr:from>
    <xdr:ext cx="857250" cy="733425"/>
    <xdr:sp>
      <xdr:nvSpPr>
        <xdr:cNvPr id="10" name="Shape 10"/>
        <xdr:cNvSpPr/>
      </xdr:nvSpPr>
      <xdr:spPr>
        <a:xfrm>
          <a:off x="4941188" y="3437100"/>
          <a:ext cx="809625" cy="685800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28575</xdr:colOff>
      <xdr:row>5</xdr:row>
      <xdr:rowOff>704850</xdr:rowOff>
    </xdr:from>
    <xdr:ext cx="3181350" cy="933450"/>
    <xdr:sp>
      <xdr:nvSpPr>
        <xdr:cNvPr id="11" name="Shape 11"/>
        <xdr:cNvSpPr txBox="1"/>
      </xdr:nvSpPr>
      <xdr:spPr>
        <a:xfrm>
          <a:off x="3760088" y="3318038"/>
          <a:ext cx="3171825" cy="923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▽11/01:</a:t>
          </a:r>
          <a:br>
            <a:rPr b="1" lang="en-US" sz="18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</a:br>
          <a:r>
            <a:rPr b="1" lang="en-US" sz="18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   プロジェクト開始</a:t>
          </a:r>
          <a:endParaRPr sz="1400"/>
        </a:p>
      </xdr:txBody>
    </xdr:sp>
    <xdr:clientData fLocksWithSheet="0"/>
  </xdr:oneCellAnchor>
  <xdr:oneCellAnchor>
    <xdr:from>
      <xdr:col>6</xdr:col>
      <xdr:colOff>2552700</xdr:colOff>
      <xdr:row>5</xdr:row>
      <xdr:rowOff>1562100</xdr:rowOff>
    </xdr:from>
    <xdr:ext cx="2590800" cy="3390900"/>
    <xdr:sp>
      <xdr:nvSpPr>
        <xdr:cNvPr id="12" name="Shape 12"/>
        <xdr:cNvSpPr/>
      </xdr:nvSpPr>
      <xdr:spPr>
        <a:xfrm>
          <a:off x="4136325" y="2113125"/>
          <a:ext cx="2419350" cy="3333750"/>
        </a:xfrm>
        <a:prstGeom prst="roundRect">
          <a:avLst>
            <a:gd fmla="val 16667" name="adj"/>
          </a:avLst>
        </a:prstGeom>
        <a:noFill/>
        <a:ln cap="flat" cmpd="sng" w="50800">
          <a:solidFill>
            <a:srgbClr val="21364F"/>
          </a:solidFill>
          <a:prstDash val="dash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1066800</xdr:colOff>
      <xdr:row>5</xdr:row>
      <xdr:rowOff>1485900</xdr:rowOff>
    </xdr:from>
    <xdr:ext cx="1666875" cy="762000"/>
    <xdr:sp>
      <xdr:nvSpPr>
        <xdr:cNvPr id="13" name="Shape 13"/>
        <xdr:cNvSpPr txBox="1"/>
      </xdr:nvSpPr>
      <xdr:spPr>
        <a:xfrm>
          <a:off x="4517325" y="3403763"/>
          <a:ext cx="1657350" cy="752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Setup</a:t>
          </a:r>
          <a:endParaRPr b="1" sz="2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28575</xdr:colOff>
      <xdr:row>9</xdr:row>
      <xdr:rowOff>819150</xdr:rowOff>
    </xdr:from>
    <xdr:ext cx="4886325" cy="2695575"/>
    <xdr:sp>
      <xdr:nvSpPr>
        <xdr:cNvPr id="14" name="Shape 14"/>
        <xdr:cNvSpPr/>
      </xdr:nvSpPr>
      <xdr:spPr>
        <a:xfrm>
          <a:off x="3283838" y="1946438"/>
          <a:ext cx="4124325" cy="3667125"/>
        </a:xfrm>
        <a:prstGeom prst="roundRect">
          <a:avLst>
            <a:gd fmla="val 16667" name="adj"/>
          </a:avLst>
        </a:prstGeom>
        <a:noFill/>
        <a:ln cap="flat" cmpd="sng" w="50800">
          <a:solidFill>
            <a:srgbClr val="21364F"/>
          </a:solidFill>
          <a:prstDash val="dash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1038225</xdr:colOff>
      <xdr:row>9</xdr:row>
      <xdr:rowOff>352425</xdr:rowOff>
    </xdr:from>
    <xdr:ext cx="1847850" cy="904875"/>
    <xdr:sp>
      <xdr:nvSpPr>
        <xdr:cNvPr id="15" name="Shape 15"/>
        <xdr:cNvSpPr txBox="1"/>
      </xdr:nvSpPr>
      <xdr:spPr>
        <a:xfrm>
          <a:off x="4426838" y="3332325"/>
          <a:ext cx="1838325" cy="895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Sprint01</a:t>
          </a:r>
          <a:endParaRPr b="1" sz="2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95250</xdr:colOff>
      <xdr:row>13</xdr:row>
      <xdr:rowOff>28575</xdr:rowOff>
    </xdr:from>
    <xdr:ext cx="2152650" cy="742950"/>
    <xdr:sp>
      <xdr:nvSpPr>
        <xdr:cNvPr id="6" name="Shape 6"/>
        <xdr:cNvSpPr/>
      </xdr:nvSpPr>
      <xdr:spPr>
        <a:xfrm>
          <a:off x="4288725" y="3432338"/>
          <a:ext cx="2114550" cy="695325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85725</xdr:colOff>
      <xdr:row>14</xdr:row>
      <xdr:rowOff>57150</xdr:rowOff>
    </xdr:from>
    <xdr:ext cx="742950" cy="752475"/>
    <xdr:sp>
      <xdr:nvSpPr>
        <xdr:cNvPr id="16" name="Shape 16"/>
        <xdr:cNvSpPr/>
      </xdr:nvSpPr>
      <xdr:spPr>
        <a:xfrm>
          <a:off x="4993575" y="3427575"/>
          <a:ext cx="704850" cy="704850"/>
        </a:xfrm>
        <a:prstGeom prst="homePlate">
          <a:avLst>
            <a:gd fmla="val 16667" name="adj"/>
          </a:avLst>
        </a:prstGeom>
        <a:solidFill>
          <a:srgbClr val="FABF8E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504825</xdr:colOff>
      <xdr:row>14</xdr:row>
      <xdr:rowOff>66675</xdr:rowOff>
    </xdr:from>
    <xdr:ext cx="733425" cy="742950"/>
    <xdr:sp>
      <xdr:nvSpPr>
        <xdr:cNvPr id="17" name="Shape 17"/>
        <xdr:cNvSpPr/>
      </xdr:nvSpPr>
      <xdr:spPr>
        <a:xfrm>
          <a:off x="5003100" y="3432338"/>
          <a:ext cx="685800" cy="695325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304800</xdr:colOff>
      <xdr:row>15</xdr:row>
      <xdr:rowOff>66675</xdr:rowOff>
    </xdr:from>
    <xdr:ext cx="857250" cy="733425"/>
    <xdr:sp>
      <xdr:nvSpPr>
        <xdr:cNvPr id="10" name="Shape 10"/>
        <xdr:cNvSpPr/>
      </xdr:nvSpPr>
      <xdr:spPr>
        <a:xfrm>
          <a:off x="4941188" y="3437100"/>
          <a:ext cx="809625" cy="685800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12</xdr:col>
      <xdr:colOff>1076325</xdr:colOff>
      <xdr:row>12</xdr:row>
      <xdr:rowOff>819150</xdr:rowOff>
    </xdr:from>
    <xdr:ext cx="3629025" cy="2695575"/>
    <xdr:sp>
      <xdr:nvSpPr>
        <xdr:cNvPr id="18" name="Shape 18"/>
        <xdr:cNvSpPr/>
      </xdr:nvSpPr>
      <xdr:spPr>
        <a:xfrm>
          <a:off x="3245738" y="1941675"/>
          <a:ext cx="4200525" cy="3676650"/>
        </a:xfrm>
        <a:prstGeom prst="roundRect">
          <a:avLst>
            <a:gd fmla="val 16667" name="adj"/>
          </a:avLst>
        </a:prstGeom>
        <a:noFill/>
        <a:ln cap="flat" cmpd="sng" w="50800">
          <a:solidFill>
            <a:srgbClr val="21364F"/>
          </a:solidFill>
          <a:prstDash val="dash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676275</xdr:colOff>
      <xdr:row>12</xdr:row>
      <xdr:rowOff>190500</xdr:rowOff>
    </xdr:from>
    <xdr:ext cx="1933575" cy="904875"/>
    <xdr:sp>
      <xdr:nvSpPr>
        <xdr:cNvPr id="19" name="Shape 19"/>
        <xdr:cNvSpPr txBox="1"/>
      </xdr:nvSpPr>
      <xdr:spPr>
        <a:xfrm>
          <a:off x="4383975" y="3332325"/>
          <a:ext cx="1924050" cy="895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Sprint02</a:t>
          </a:r>
          <a:endParaRPr b="1" sz="2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38100</xdr:colOff>
      <xdr:row>16</xdr:row>
      <xdr:rowOff>95250</xdr:rowOff>
    </xdr:from>
    <xdr:ext cx="2152650" cy="742950"/>
    <xdr:sp>
      <xdr:nvSpPr>
        <xdr:cNvPr id="6" name="Shape 6"/>
        <xdr:cNvSpPr/>
      </xdr:nvSpPr>
      <xdr:spPr>
        <a:xfrm>
          <a:off x="4288725" y="3432338"/>
          <a:ext cx="2114550" cy="695325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18</xdr:col>
      <xdr:colOff>247650</xdr:colOff>
      <xdr:row>17</xdr:row>
      <xdr:rowOff>57150</xdr:rowOff>
    </xdr:from>
    <xdr:ext cx="552450" cy="752475"/>
    <xdr:sp>
      <xdr:nvSpPr>
        <xdr:cNvPr id="20" name="Shape 20"/>
        <xdr:cNvSpPr/>
      </xdr:nvSpPr>
      <xdr:spPr>
        <a:xfrm>
          <a:off x="5093588" y="3427575"/>
          <a:ext cx="504825" cy="704850"/>
        </a:xfrm>
        <a:prstGeom prst="homePlate">
          <a:avLst>
            <a:gd fmla="val 16667" name="adj"/>
          </a:avLst>
        </a:prstGeom>
        <a:solidFill>
          <a:srgbClr val="FABF8E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685800</xdr:colOff>
      <xdr:row>17</xdr:row>
      <xdr:rowOff>47625</xdr:rowOff>
    </xdr:from>
    <xdr:ext cx="733425" cy="742950"/>
    <xdr:sp>
      <xdr:nvSpPr>
        <xdr:cNvPr id="21" name="Shape 21"/>
        <xdr:cNvSpPr/>
      </xdr:nvSpPr>
      <xdr:spPr>
        <a:xfrm>
          <a:off x="5003100" y="3432338"/>
          <a:ext cx="685800" cy="695325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18</xdr:col>
      <xdr:colOff>352425</xdr:colOff>
      <xdr:row>18</xdr:row>
      <xdr:rowOff>66675</xdr:rowOff>
    </xdr:from>
    <xdr:ext cx="857250" cy="733425"/>
    <xdr:sp>
      <xdr:nvSpPr>
        <xdr:cNvPr id="22" name="Shape 22"/>
        <xdr:cNvSpPr/>
      </xdr:nvSpPr>
      <xdr:spPr>
        <a:xfrm>
          <a:off x="4941188" y="3437100"/>
          <a:ext cx="809625" cy="685800"/>
        </a:xfrm>
        <a:prstGeom prst="homePlate">
          <a:avLst>
            <a:gd fmla="val 16667" name="adj"/>
          </a:avLst>
        </a:prstGeom>
        <a:solidFill>
          <a:srgbClr val="93B3D7"/>
        </a:solidFill>
        <a:ln cap="flat" cmpd="sng" w="44450">
          <a:solidFill>
            <a:srgbClr val="24406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2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1066800</xdr:colOff>
      <xdr:row>15</xdr:row>
      <xdr:rowOff>800100</xdr:rowOff>
    </xdr:from>
    <xdr:ext cx="3686175" cy="2695575"/>
    <xdr:sp>
      <xdr:nvSpPr>
        <xdr:cNvPr id="23" name="Shape 23"/>
        <xdr:cNvSpPr/>
      </xdr:nvSpPr>
      <xdr:spPr>
        <a:xfrm>
          <a:off x="3245738" y="1946438"/>
          <a:ext cx="4200525" cy="3667125"/>
        </a:xfrm>
        <a:prstGeom prst="roundRect">
          <a:avLst>
            <a:gd fmla="val 16667" name="adj"/>
          </a:avLst>
        </a:prstGeom>
        <a:noFill/>
        <a:ln cap="flat" cmpd="sng" w="50800">
          <a:solidFill>
            <a:srgbClr val="21364F"/>
          </a:solidFill>
          <a:prstDash val="dash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457200</xdr:colOff>
      <xdr:row>15</xdr:row>
      <xdr:rowOff>381000</xdr:rowOff>
    </xdr:from>
    <xdr:ext cx="2219325" cy="914400"/>
    <xdr:sp>
      <xdr:nvSpPr>
        <xdr:cNvPr id="24" name="Shape 24"/>
        <xdr:cNvSpPr txBox="1"/>
      </xdr:nvSpPr>
      <xdr:spPr>
        <a:xfrm>
          <a:off x="4241100" y="3327563"/>
          <a:ext cx="2209800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Sprint03</a:t>
          </a:r>
          <a:endParaRPr b="1" sz="2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409575</xdr:colOff>
      <xdr:row>5</xdr:row>
      <xdr:rowOff>123825</xdr:rowOff>
    </xdr:from>
    <xdr:ext cx="7324725" cy="8191500"/>
    <xdr:sp>
      <xdr:nvSpPr>
        <xdr:cNvPr id="25" name="Shape 25"/>
        <xdr:cNvSpPr/>
      </xdr:nvSpPr>
      <xdr:spPr>
        <a:xfrm>
          <a:off x="1697925" y="0"/>
          <a:ext cx="7296150" cy="7560000"/>
        </a:xfrm>
        <a:prstGeom prst="rect">
          <a:avLst/>
        </a:prstGeom>
        <a:noFill/>
        <a:ln cap="flat" cmpd="sng" w="28575">
          <a:solidFill>
            <a:srgbClr val="21364F"/>
          </a:solidFill>
          <a:prstDash val="dash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47625</xdr:colOff>
      <xdr:row>6</xdr:row>
      <xdr:rowOff>-85725</xdr:rowOff>
    </xdr:from>
    <xdr:ext cx="4800600" cy="8220075"/>
    <xdr:sp>
      <xdr:nvSpPr>
        <xdr:cNvPr id="26" name="Shape 26"/>
        <xdr:cNvSpPr/>
      </xdr:nvSpPr>
      <xdr:spPr>
        <a:xfrm>
          <a:off x="2959988" y="0"/>
          <a:ext cx="4772025" cy="7560000"/>
        </a:xfrm>
        <a:prstGeom prst="rect">
          <a:avLst/>
        </a:prstGeom>
        <a:noFill/>
        <a:ln cap="flat" cmpd="sng" w="28575">
          <a:solidFill>
            <a:srgbClr val="21364F"/>
          </a:solidFill>
          <a:prstDash val="dash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638175</xdr:colOff>
      <xdr:row>5</xdr:row>
      <xdr:rowOff>114300</xdr:rowOff>
    </xdr:from>
    <xdr:ext cx="2857500" cy="333375"/>
    <xdr:sp>
      <xdr:nvSpPr>
        <xdr:cNvPr id="27" name="Shape 27"/>
        <xdr:cNvSpPr txBox="1"/>
      </xdr:nvSpPr>
      <xdr:spPr>
        <a:xfrm>
          <a:off x="3921631" y="3617135"/>
          <a:ext cx="2848738" cy="32573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MS PGothic"/>
              <a:ea typeface="MS PGothic"/>
              <a:cs typeface="MS PGothic"/>
              <a:sym typeface="MS PGothic"/>
            </a:rPr>
            <a:t>Splus-Software　ラボチーム</a:t>
          </a:r>
          <a:endParaRPr b="1" sz="1400"/>
        </a:p>
      </xdr:txBody>
    </xdr:sp>
    <xdr:clientData fLocksWithSheet="0"/>
  </xdr:oneCellAnchor>
  <xdr:oneCellAnchor>
    <xdr:from>
      <xdr:col>7</xdr:col>
      <xdr:colOff>123825</xdr:colOff>
      <xdr:row>19</xdr:row>
      <xdr:rowOff>57150</xdr:rowOff>
    </xdr:from>
    <xdr:ext cx="2514600" cy="285750"/>
    <xdr:sp>
      <xdr:nvSpPr>
        <xdr:cNvPr id="28" name="Shape 28"/>
        <xdr:cNvSpPr/>
      </xdr:nvSpPr>
      <xdr:spPr>
        <a:xfrm flipH="1" rot="10800000">
          <a:off x="4093463" y="3641888"/>
          <a:ext cx="2505075" cy="276225"/>
        </a:xfrm>
        <a:prstGeom prst="leftRightArrow">
          <a:avLst>
            <a:gd fmla="val 50000" name="adj1"/>
            <a:gd fmla="val 50000" name="adj2"/>
          </a:avLst>
        </a:prstGeom>
        <a:solidFill>
          <a:srgbClr val="999999"/>
        </a:solidFill>
        <a:ln cap="flat" cmpd="sng" w="12700">
          <a:solidFill>
            <a:srgbClr val="21364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495300</xdr:colOff>
      <xdr:row>21</xdr:row>
      <xdr:rowOff>180975</xdr:rowOff>
    </xdr:from>
    <xdr:ext cx="2686050" cy="3962400"/>
    <xdr:sp>
      <xdr:nvSpPr>
        <xdr:cNvPr id="29" name="Shape 29"/>
        <xdr:cNvSpPr/>
      </xdr:nvSpPr>
      <xdr:spPr>
        <a:xfrm>
          <a:off x="4026788" y="1817850"/>
          <a:ext cx="2638425" cy="3924300"/>
        </a:xfrm>
        <a:prstGeom prst="rect">
          <a:avLst/>
        </a:prstGeom>
        <a:noFill/>
        <a:ln cap="flat" cmpd="sng" w="41275">
          <a:solidFill>
            <a:srgbClr val="FF0000"/>
          </a:solidFill>
          <a:prstDash val="dash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47625</xdr:colOff>
      <xdr:row>5</xdr:row>
      <xdr:rowOff>161925</xdr:rowOff>
    </xdr:from>
    <xdr:ext cx="2724150" cy="400050"/>
    <xdr:sp>
      <xdr:nvSpPr>
        <xdr:cNvPr id="30" name="Shape 30"/>
        <xdr:cNvSpPr txBox="1"/>
      </xdr:nvSpPr>
      <xdr:spPr>
        <a:xfrm>
          <a:off x="3994878" y="3590247"/>
          <a:ext cx="2702244" cy="37950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Workthy様</a:t>
          </a:r>
          <a:endParaRPr b="1" sz="14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udhirkumar85/Hotel-Management-System/tree/master" TargetMode="External"/><Relationship Id="rId2" Type="http://schemas.openxmlformats.org/officeDocument/2006/relationships/hyperlink" Target="https://github.com/kunaltyagi9/Travel-and-Toursim-Management-System.git" TargetMode="External"/><Relationship Id="rId3" Type="http://schemas.openxmlformats.org/officeDocument/2006/relationships/hyperlink" Target="https://github.com/spring-projects/spring-petclinic.git" TargetMode="External"/><Relationship Id="rId4" Type="http://schemas.openxmlformats.org/officeDocument/2006/relationships/hyperlink" Target="https://github.com/oburakcinar/Student-Management-System" TargetMode="External"/><Relationship Id="rId5" Type="http://schemas.openxmlformats.org/officeDocument/2006/relationships/hyperlink" Target="https://github.com/dattali18/WPF-.NET-Project" TargetMode="External"/><Relationship Id="rId6" Type="http://schemas.openxmlformats.org/officeDocument/2006/relationships/hyperlink" Target="https://drive.google.com/file/d/1eUXZ8xXpEfZE7TG-FTc9poIhRq2Gne0C/view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7.75"/>
    <col customWidth="1" min="3" max="14" width="17.0"/>
    <col customWidth="1" min="15" max="15" width="6.25"/>
    <col customWidth="1" min="16" max="16" width="1.5"/>
    <col customWidth="1" min="17" max="22" width="4.13"/>
    <col customWidth="1" min="23" max="26" width="11.13"/>
  </cols>
  <sheetData>
    <row r="1" ht="21.75" customHeight="1">
      <c r="A1" s="1"/>
      <c r="B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6"/>
      <c r="Q2" s="1"/>
      <c r="R2" s="1"/>
      <c r="S2" s="1"/>
      <c r="T2" s="1"/>
      <c r="U2" s="1"/>
      <c r="V2" s="1"/>
      <c r="W2" s="1"/>
      <c r="X2" s="1"/>
      <c r="Y2" s="1"/>
      <c r="Z2" s="1"/>
    </row>
    <row r="3" ht="39.75" customHeight="1">
      <c r="A3" s="1"/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6"/>
      <c r="Q3" s="1"/>
      <c r="R3" s="1"/>
      <c r="S3" s="1"/>
      <c r="T3" s="1"/>
      <c r="U3" s="1"/>
      <c r="V3" s="1"/>
      <c r="W3" s="1"/>
      <c r="X3" s="1"/>
      <c r="Y3" s="1"/>
      <c r="Z3" s="1"/>
    </row>
    <row r="4" ht="39.75" customHeight="1">
      <c r="A4" s="1"/>
      <c r="B4" s="10"/>
      <c r="O4" s="11"/>
      <c r="P4" s="6"/>
      <c r="Q4" s="1"/>
      <c r="R4" s="1"/>
      <c r="S4" s="1"/>
      <c r="T4" s="1"/>
      <c r="U4" s="1"/>
      <c r="V4" s="1"/>
      <c r="W4" s="1"/>
      <c r="X4" s="1"/>
      <c r="Y4" s="1"/>
      <c r="Z4" s="1"/>
    </row>
    <row r="5" ht="39.75" customHeight="1">
      <c r="A5" s="1"/>
      <c r="B5" s="10"/>
      <c r="O5" s="11"/>
      <c r="P5" s="6"/>
      <c r="Q5" s="1"/>
      <c r="R5" s="1"/>
      <c r="S5" s="1"/>
      <c r="T5" s="1"/>
      <c r="U5" s="1"/>
      <c r="V5" s="1"/>
      <c r="W5" s="1"/>
      <c r="X5" s="1"/>
      <c r="Y5" s="1"/>
      <c r="Z5" s="1"/>
    </row>
    <row r="6" ht="39.75" customHeight="1">
      <c r="A6" s="1"/>
      <c r="B6" s="10"/>
      <c r="O6" s="11"/>
      <c r="P6" s="6"/>
      <c r="Q6" s="1"/>
      <c r="R6" s="1"/>
      <c r="S6" s="1"/>
      <c r="T6" s="1"/>
      <c r="U6" s="1"/>
      <c r="V6" s="1"/>
      <c r="W6" s="1"/>
      <c r="X6" s="1"/>
      <c r="Y6" s="1"/>
      <c r="Z6" s="1"/>
    </row>
    <row r="7" ht="39.75" customHeight="1">
      <c r="A7" s="1"/>
      <c r="B7" s="10"/>
      <c r="O7" s="11"/>
      <c r="P7" s="6"/>
      <c r="Q7" s="1"/>
      <c r="R7" s="1"/>
      <c r="S7" s="1"/>
      <c r="T7" s="1"/>
      <c r="U7" s="1"/>
      <c r="V7" s="1"/>
      <c r="W7" s="1"/>
      <c r="X7" s="1"/>
      <c r="Y7" s="1"/>
      <c r="Z7" s="1"/>
    </row>
    <row r="8" ht="39.75" customHeight="1">
      <c r="A8" s="1"/>
      <c r="B8" s="10"/>
      <c r="O8" s="11"/>
      <c r="P8" s="6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1"/>
      <c r="B9" s="10"/>
      <c r="O9" s="11"/>
      <c r="P9" s="6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1"/>
      <c r="B10" s="10"/>
      <c r="O10" s="11"/>
      <c r="P10" s="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1"/>
      <c r="B11" s="10"/>
      <c r="O11" s="11"/>
      <c r="P11" s="6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1"/>
      <c r="B12" s="10"/>
      <c r="O12" s="11"/>
      <c r="P12" s="6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1"/>
      <c r="B13" s="10"/>
      <c r="O13" s="11"/>
      <c r="P13" s="6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10"/>
      <c r="O14" s="11"/>
      <c r="P14" s="6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1"/>
      <c r="B15" s="10"/>
      <c r="O15" s="11"/>
      <c r="P15" s="6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10"/>
      <c r="O16" s="11"/>
      <c r="P16" s="6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10"/>
      <c r="O17" s="11"/>
      <c r="P17" s="6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10"/>
      <c r="O18" s="11"/>
      <c r="P18" s="6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9.75" customHeight="1">
      <c r="A19" s="1"/>
      <c r="B19" s="10"/>
      <c r="O19" s="11"/>
      <c r="P19" s="6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9.75" customHeight="1">
      <c r="A20" s="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6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6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7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"/>
      <c r="C26" s="1"/>
      <c r="D26" s="1"/>
      <c r="E26" s="1"/>
      <c r="F26" s="1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B1:N1"/>
    <mergeCell ref="B2:O2"/>
    <mergeCell ref="B3:O20"/>
    <mergeCell ref="B21:O21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41.5"/>
    <col customWidth="1" min="3" max="3" width="34.0"/>
    <col customWidth="1" min="4" max="4" width="40.13"/>
    <col customWidth="1" min="5" max="5" width="21.75"/>
  </cols>
  <sheetData>
    <row r="1">
      <c r="A1" s="21"/>
      <c r="B1" s="21" t="s">
        <v>2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ht="35.25" customHeight="1">
      <c r="A2" s="23"/>
      <c r="B2" s="23"/>
      <c r="C2" s="23" t="s">
        <v>3</v>
      </c>
      <c r="D2" s="23" t="s">
        <v>4</v>
      </c>
      <c r="E2" s="23" t="s">
        <v>5</v>
      </c>
      <c r="F2" s="23"/>
      <c r="G2" s="23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23"/>
      <c r="B3" s="24"/>
      <c r="C3" s="25" t="s">
        <v>6</v>
      </c>
      <c r="D3" s="26" t="s">
        <v>7</v>
      </c>
      <c r="E3" s="26" t="s">
        <v>8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>
      <c r="A4" s="27"/>
      <c r="B4" s="28" t="s">
        <v>9</v>
      </c>
      <c r="C4" s="29" t="str">
        <f>DOLLAR((0.00025*$D$34/1000) + (0.00125*$D$35/1000), 2) &amp; " ~ " &amp; DOLLAR((0.00025*$D$49/1000) + (0.00125*$D$50/1000), 2)</f>
        <v>$0.88 ~ $3.52</v>
      </c>
      <c r="D4" s="29" t="str">
        <f>DOLLAR((0.003*$D$34/1000) + (0.015*$D$35/1000),2) &amp; " ~ " &amp; DOLLAR((0.003*$D$49/1000) + (0.015*$D$50/1000), 2)</f>
        <v>$10.56 ~ $42.24</v>
      </c>
      <c r="E4" s="29" t="str">
        <f>DOLLAR((0.00018*$D$34/1000) + (0.00073*$D$35/1000),2) &amp; " ~ " &amp; DOLLAR((0.00018*$D$49/1000) + (0.00073*$D$50/1000),2)</f>
        <v>$0.52 ~ $2.09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>
      <c r="A5" s="27"/>
      <c r="B5" s="28" t="s">
        <v>10</v>
      </c>
      <c r="C5" s="30">
        <v>32.0</v>
      </c>
      <c r="D5" s="30">
        <v>32.0</v>
      </c>
      <c r="E5" s="30">
        <v>32.0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>
      <c r="A6" s="27"/>
      <c r="B6" s="28" t="s">
        <v>11</v>
      </c>
      <c r="C6" s="31" t="str">
        <f t="shared" ref="C6:E6" si="1"> DOLLAR(0,2) &amp; " - " &amp; DOLLAR(5,2)</f>
        <v>$0.00 - $5.00</v>
      </c>
      <c r="D6" s="31" t="str">
        <f t="shared" si="1"/>
        <v>$0.00 - $5.00</v>
      </c>
      <c r="E6" s="31" t="str">
        <f t="shared" si="1"/>
        <v>$0.00 - $5.00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>
      <c r="A7" s="27"/>
      <c r="B7" s="28" t="s">
        <v>12</v>
      </c>
      <c r="C7" s="32" t="str">
        <f t="shared" ref="C7:E7" si="2">DOLLAR(1,2)</f>
        <v>$1.00</v>
      </c>
      <c r="D7" s="32" t="str">
        <f t="shared" si="2"/>
        <v>$1.00</v>
      </c>
      <c r="E7" s="32" t="str">
        <f t="shared" si="2"/>
        <v>$1.00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>
      <c r="A8" s="33"/>
      <c r="B8" s="34" t="s">
        <v>13</v>
      </c>
      <c r="C8" s="31" t="str">
        <f t="shared" ref="C8:E8" si="3"> DOLLAR(0,2) &amp; " - " &amp; DOLLAR(5,2)</f>
        <v>$0.00 - $5.00</v>
      </c>
      <c r="D8" s="31" t="str">
        <f t="shared" si="3"/>
        <v>$0.00 - $5.00</v>
      </c>
      <c r="E8" s="31" t="str">
        <f t="shared" si="3"/>
        <v>$0.00 - $5.00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>
      <c r="A9" s="33"/>
      <c r="B9" s="34" t="s">
        <v>14</v>
      </c>
      <c r="C9" s="35" t="str">
        <f t="shared" ref="C9:E9" si="4">DOLLAR(17.3,2)</f>
        <v>$17.30</v>
      </c>
      <c r="D9" s="35" t="str">
        <f t="shared" si="4"/>
        <v>$17.30</v>
      </c>
      <c r="E9" s="35" t="str">
        <f t="shared" si="4"/>
        <v>$17.30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>
      <c r="A10" s="33"/>
      <c r="B10" s="34" t="s">
        <v>15</v>
      </c>
      <c r="C10" s="35" t="str">
        <f t="shared" ref="C10:E10" si="5">DOLLAR(0.5,1)</f>
        <v>$0.5</v>
      </c>
      <c r="D10" s="35" t="str">
        <f t="shared" si="5"/>
        <v>$0.5</v>
      </c>
      <c r="E10" s="35" t="str">
        <f t="shared" si="5"/>
        <v>$0.5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>
      <c r="A11" s="33"/>
      <c r="B11" s="34" t="s">
        <v>16</v>
      </c>
      <c r="C11" s="35" t="str">
        <f t="shared" ref="C11:E11" si="6">DOLLAR(0,1)</f>
        <v>$0.0</v>
      </c>
      <c r="D11" s="35" t="str">
        <f t="shared" si="6"/>
        <v>$0.0</v>
      </c>
      <c r="E11" s="35" t="str">
        <f t="shared" si="6"/>
        <v>$0.0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>
      <c r="A12" s="33"/>
      <c r="B12" s="34" t="s">
        <v>17</v>
      </c>
      <c r="C12" s="31" t="str">
        <f t="shared" ref="C12:E12" si="7"> DOLLAR(5,2) &amp; " - " &amp; DOLLAR(10,2)</f>
        <v>$5.00 - $10.00</v>
      </c>
      <c r="D12" s="31" t="str">
        <f t="shared" si="7"/>
        <v>$5.00 - $10.00</v>
      </c>
      <c r="E12" s="31" t="str">
        <f t="shared" si="7"/>
        <v>$5.00 - $10.00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33"/>
      <c r="B13" s="34" t="s">
        <v>18</v>
      </c>
      <c r="C13" s="36" t="str">
        <f t="shared" ref="C13:E13" si="8">DOLLAR(10,1)</f>
        <v>$10.0</v>
      </c>
      <c r="D13" s="36" t="str">
        <f t="shared" si="8"/>
        <v>$10.0</v>
      </c>
      <c r="E13" s="36" t="str">
        <f t="shared" si="8"/>
        <v>$10.0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>
      <c r="A14" s="37"/>
      <c r="B14" s="38" t="s">
        <v>19</v>
      </c>
      <c r="C14" s="31" t="str">
        <f t="shared" ref="C14:E14" si="9"> DOLLAR(1,2) &amp; " - " &amp; DOLLAR(5,2)</f>
        <v>$1.00 - $5.00</v>
      </c>
      <c r="D14" s="31" t="str">
        <f t="shared" si="9"/>
        <v>$1.00 - $5.00</v>
      </c>
      <c r="E14" s="31" t="str">
        <f t="shared" si="9"/>
        <v>$1.00 - $5.00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>
      <c r="A15" s="33"/>
      <c r="B15" s="39" t="s">
        <v>20</v>
      </c>
      <c r="C15" s="40" t="str">
        <f> DOLLAR(67.68,2) &amp; " - " &amp; DOLLAR(89.32,2)</f>
        <v>$67.68 - $89.32</v>
      </c>
      <c r="D15" s="40" t="str">
        <f> DOLLAR(77.36,2) &amp; " - " &amp; DOLLAR(128.04,2)</f>
        <v>$77.36 - $128.04</v>
      </c>
      <c r="E15" s="40" t="str">
        <f> DOLLAR(67.32,2) &amp; " - " &amp; DOLLAR(87.89,2)</f>
        <v>$67.32 - $87.89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22"/>
      <c r="B18" s="23" t="s">
        <v>21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22"/>
    </row>
    <row r="19">
      <c r="A19" s="22"/>
      <c r="B19" s="42" t="s">
        <v>22</v>
      </c>
      <c r="C19" s="43"/>
      <c r="D19" s="43"/>
      <c r="E19" s="44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22"/>
    </row>
    <row r="20">
      <c r="A20" s="22"/>
      <c r="B20" s="45" t="s">
        <v>23</v>
      </c>
      <c r="C20" s="46" t="s">
        <v>24</v>
      </c>
      <c r="D20" s="43"/>
      <c r="E20" s="44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22"/>
    </row>
    <row r="21">
      <c r="A21" s="22"/>
      <c r="B21" s="45" t="s">
        <v>25</v>
      </c>
      <c r="C21" s="46" t="s">
        <v>26</v>
      </c>
      <c r="D21" s="43"/>
      <c r="E21" s="44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22"/>
    </row>
    <row r="22">
      <c r="A22" s="22"/>
      <c r="B22" s="47" t="s">
        <v>27</v>
      </c>
      <c r="C22" s="48" t="s">
        <v>28</v>
      </c>
      <c r="D22" s="49">
        <v>100.0</v>
      </c>
      <c r="E22" s="34" t="s">
        <v>29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22"/>
    </row>
    <row r="23">
      <c r="A23" s="22"/>
      <c r="B23" s="50"/>
      <c r="C23" s="48" t="s">
        <v>30</v>
      </c>
      <c r="D23" s="49">
        <v>300.0</v>
      </c>
      <c r="E23" s="34" t="s">
        <v>29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22"/>
    </row>
    <row r="24">
      <c r="A24" s="22"/>
      <c r="B24" s="47" t="s">
        <v>27</v>
      </c>
      <c r="C24" s="49" t="s">
        <v>31</v>
      </c>
      <c r="D24" s="49">
        <v>10.0</v>
      </c>
      <c r="E24" s="49" t="s">
        <v>32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22"/>
    </row>
    <row r="25">
      <c r="A25" s="22"/>
      <c r="B25" s="50"/>
      <c r="C25" s="49" t="s">
        <v>33</v>
      </c>
      <c r="D25" s="49">
        <v>20.0</v>
      </c>
      <c r="E25" s="49" t="s">
        <v>32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22"/>
    </row>
    <row r="26">
      <c r="A26" s="22"/>
      <c r="B26" s="47" t="s">
        <v>34</v>
      </c>
      <c r="C26" s="49" t="s">
        <v>31</v>
      </c>
      <c r="D26" s="49">
        <v>10.0</v>
      </c>
      <c r="E26" s="49" t="s">
        <v>35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22"/>
    </row>
    <row r="27">
      <c r="A27" s="22"/>
      <c r="B27" s="50"/>
      <c r="C27" s="49" t="s">
        <v>33</v>
      </c>
      <c r="D27" s="49">
        <v>20.0</v>
      </c>
      <c r="E27" s="49" t="s">
        <v>35</v>
      </c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22"/>
    </row>
    <row r="28">
      <c r="A28" s="22"/>
      <c r="B28" s="42" t="s">
        <v>36</v>
      </c>
      <c r="C28" s="43"/>
      <c r="D28" s="43"/>
      <c r="E28" s="44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22"/>
    </row>
    <row r="29">
      <c r="A29" s="22"/>
      <c r="B29" s="51" t="s">
        <v>37</v>
      </c>
      <c r="C29" s="49" t="s">
        <v>31</v>
      </c>
      <c r="D29" s="49">
        <f> $D$24*$D$26</f>
        <v>100</v>
      </c>
      <c r="E29" s="49" t="s">
        <v>38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22"/>
    </row>
    <row r="30">
      <c r="A30" s="22"/>
      <c r="B30" s="50"/>
      <c r="C30" s="49" t="s">
        <v>33</v>
      </c>
      <c r="D30" s="49">
        <f> $D$24*$D$27</f>
        <v>200</v>
      </c>
      <c r="E30" s="49" t="s">
        <v>38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22"/>
    </row>
    <row r="31">
      <c r="A31" s="22"/>
      <c r="B31" s="51" t="s">
        <v>39</v>
      </c>
      <c r="C31" s="49" t="s">
        <v>31</v>
      </c>
      <c r="D31" s="52">
        <f>22*$D$29</f>
        <v>2200</v>
      </c>
      <c r="E31" s="49" t="s">
        <v>40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22"/>
    </row>
    <row r="32">
      <c r="A32" s="22"/>
      <c r="B32" s="50"/>
      <c r="C32" s="49" t="s">
        <v>33</v>
      </c>
      <c r="D32" s="52">
        <f>22*$D$30</f>
        <v>4400</v>
      </c>
      <c r="E32" s="49" t="s">
        <v>40</v>
      </c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22"/>
    </row>
    <row r="33">
      <c r="A33" s="22"/>
      <c r="B33" s="42" t="s">
        <v>41</v>
      </c>
      <c r="C33" s="43"/>
      <c r="D33" s="43"/>
      <c r="E33" s="44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22"/>
    </row>
    <row r="34">
      <c r="A34" s="22"/>
      <c r="B34" s="51" t="s">
        <v>42</v>
      </c>
      <c r="C34" s="49" t="s">
        <v>43</v>
      </c>
      <c r="D34" s="53">
        <f>$D$22*$D$31</f>
        <v>220000</v>
      </c>
      <c r="E34" s="34" t="s">
        <v>29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>
      <c r="A35" s="22"/>
      <c r="B35" s="54"/>
      <c r="C35" s="49" t="s">
        <v>44</v>
      </c>
      <c r="D35" s="52">
        <f>$D$23*$D$31</f>
        <v>660000</v>
      </c>
      <c r="E35" s="34" t="s">
        <v>29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>
      <c r="A36" s="22"/>
      <c r="B36" s="50"/>
      <c r="C36" s="24" t="s">
        <v>45</v>
      </c>
      <c r="D36" s="55">
        <f>$D$34+$D$35</f>
        <v>880000</v>
      </c>
      <c r="E36" s="39" t="s">
        <v>29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>
      <c r="A37" s="22"/>
      <c r="B37" s="51" t="s">
        <v>46</v>
      </c>
      <c r="C37" s="49" t="s">
        <v>43</v>
      </c>
      <c r="D37" s="52">
        <f>$D$22*$D$32</f>
        <v>440000</v>
      </c>
      <c r="E37" s="34" t="s">
        <v>29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>
      <c r="A38" s="22"/>
      <c r="B38" s="54"/>
      <c r="C38" s="49" t="s">
        <v>44</v>
      </c>
      <c r="D38" s="52">
        <f>$D$23*$D$32</f>
        <v>1320000</v>
      </c>
      <c r="E38" s="34" t="s">
        <v>29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>
      <c r="A39" s="22"/>
      <c r="B39" s="50"/>
      <c r="C39" s="24" t="s">
        <v>45</v>
      </c>
      <c r="D39" s="55">
        <f>$D$37+$D$38</f>
        <v>1760000</v>
      </c>
      <c r="E39" s="39" t="s">
        <v>29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>
      <c r="A40" s="22"/>
      <c r="B40" s="42" t="s">
        <v>47</v>
      </c>
      <c r="C40" s="43"/>
      <c r="D40" s="43"/>
      <c r="E40" s="44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22"/>
    </row>
    <row r="41">
      <c r="A41" s="22"/>
      <c r="B41" s="51" t="s">
        <v>48</v>
      </c>
      <c r="C41" s="49" t="s">
        <v>31</v>
      </c>
      <c r="D41" s="49">
        <f> $D$25*$D$26</f>
        <v>200</v>
      </c>
      <c r="E41" s="49" t="s">
        <v>38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22"/>
    </row>
    <row r="42">
      <c r="A42" s="22"/>
      <c r="B42" s="50"/>
      <c r="C42" s="49" t="s">
        <v>33</v>
      </c>
      <c r="D42" s="49">
        <f>$D$25*$D$27</f>
        <v>400</v>
      </c>
      <c r="E42" s="49" t="s">
        <v>38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22"/>
    </row>
    <row r="43">
      <c r="A43" s="22"/>
      <c r="B43" s="51" t="s">
        <v>49</v>
      </c>
      <c r="C43" s="49" t="s">
        <v>31</v>
      </c>
      <c r="D43" s="52">
        <f>22*$D$41</f>
        <v>4400</v>
      </c>
      <c r="E43" s="49" t="s">
        <v>38</v>
      </c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22"/>
    </row>
    <row r="44">
      <c r="A44" s="22"/>
      <c r="B44" s="50"/>
      <c r="C44" s="49" t="s">
        <v>33</v>
      </c>
      <c r="D44" s="52">
        <f>22*$D$42</f>
        <v>8800</v>
      </c>
      <c r="E44" s="49" t="s">
        <v>38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22"/>
    </row>
    <row r="45">
      <c r="A45" s="22"/>
      <c r="B45" s="42" t="s">
        <v>50</v>
      </c>
      <c r="C45" s="43"/>
      <c r="D45" s="43"/>
      <c r="E45" s="44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22"/>
    </row>
    <row r="46">
      <c r="A46" s="22"/>
      <c r="B46" s="51" t="s">
        <v>42</v>
      </c>
      <c r="C46" s="49" t="s">
        <v>43</v>
      </c>
      <c r="D46" s="53">
        <f>$D$22*$D$43</f>
        <v>440000</v>
      </c>
      <c r="E46" s="34" t="s">
        <v>29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>
      <c r="A47" s="22"/>
      <c r="B47" s="54"/>
      <c r="C47" s="49" t="s">
        <v>44</v>
      </c>
      <c r="D47" s="52">
        <f>$D$23*$D$43</f>
        <v>1320000</v>
      </c>
      <c r="E47" s="34" t="s">
        <v>29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>
      <c r="A48" s="22"/>
      <c r="B48" s="50"/>
      <c r="C48" s="24" t="s">
        <v>45</v>
      </c>
      <c r="D48" s="55">
        <f>$D$46+$D$47</f>
        <v>1760000</v>
      </c>
      <c r="E48" s="39" t="s">
        <v>29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>
      <c r="A49" s="22"/>
      <c r="B49" s="51" t="s">
        <v>46</v>
      </c>
      <c r="C49" s="49" t="s">
        <v>43</v>
      </c>
      <c r="D49" s="52">
        <f>$D$22*$D$44</f>
        <v>880000</v>
      </c>
      <c r="E49" s="34" t="s">
        <v>29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>
      <c r="A50" s="22"/>
      <c r="B50" s="54"/>
      <c r="C50" s="49" t="s">
        <v>44</v>
      </c>
      <c r="D50" s="52">
        <f>$D$23*$D$44</f>
        <v>2640000</v>
      </c>
      <c r="E50" s="34" t="s">
        <v>29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>
      <c r="A51" s="22"/>
      <c r="B51" s="50"/>
      <c r="C51" s="24" t="s">
        <v>45</v>
      </c>
      <c r="D51" s="55">
        <f>$D$49+$D$50</f>
        <v>3520000</v>
      </c>
      <c r="E51" s="39" t="s">
        <v>29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  <row r="101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</row>
    <row r="101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</row>
    <row r="1013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</row>
    <row r="1014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</row>
    <row r="101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</row>
    <row r="1016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</row>
    <row r="1017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</row>
    <row r="1018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</row>
    <row r="1019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</row>
    <row r="1020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</row>
    <row r="1021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</row>
  </sheetData>
  <mergeCells count="19">
    <mergeCell ref="B33:E33"/>
    <mergeCell ref="B40:E40"/>
    <mergeCell ref="B45:E45"/>
    <mergeCell ref="B1:F1"/>
    <mergeCell ref="B19:E19"/>
    <mergeCell ref="C20:E20"/>
    <mergeCell ref="C21:E21"/>
    <mergeCell ref="B22:B23"/>
    <mergeCell ref="B24:B25"/>
    <mergeCell ref="B28:E28"/>
    <mergeCell ref="B46:B48"/>
    <mergeCell ref="B49:B51"/>
    <mergeCell ref="B26:B27"/>
    <mergeCell ref="B29:B30"/>
    <mergeCell ref="B31:B32"/>
    <mergeCell ref="B34:B36"/>
    <mergeCell ref="B37:B39"/>
    <mergeCell ref="B41:B42"/>
    <mergeCell ref="B43:B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0.63"/>
    <col customWidth="1" min="2" max="2" width="2.38"/>
    <col customWidth="1" min="3" max="3" width="15.0"/>
    <col customWidth="1" min="4" max="4" width="20.0"/>
    <col customWidth="1" min="5" max="6" width="13.13"/>
    <col customWidth="1" min="7" max="8" width="10.63"/>
    <col customWidth="1" min="9" max="9" width="9.0"/>
    <col customWidth="1" min="10" max="10" width="9.5"/>
    <col customWidth="1" min="11" max="11" width="22.5"/>
    <col customWidth="1" min="12" max="12" width="0.75"/>
    <col customWidth="1" min="13" max="13" width="1.63"/>
    <col customWidth="1" min="14" max="14" width="15.88"/>
    <col customWidth="1" min="15" max="15" width="5.38"/>
    <col customWidth="1" min="16" max="18" width="3.38"/>
    <col customWidth="1" min="19" max="29" width="4.5"/>
  </cols>
  <sheetData>
    <row r="1">
      <c r="A1" s="56"/>
      <c r="B1" s="57" t="s">
        <v>51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8"/>
      <c r="P1" s="58"/>
      <c r="Q1" s="59"/>
      <c r="R1" s="58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ht="15.7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8"/>
      <c r="P2" s="58"/>
      <c r="Q2" s="59"/>
      <c r="R2" s="58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ht="21.75" customHeight="1">
      <c r="A3" s="56"/>
      <c r="B3" s="60" t="s">
        <v>52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 ht="24.75" customHeight="1">
      <c r="A4" s="56"/>
      <c r="B4" s="61" t="s">
        <v>53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 ht="24.75" customHeight="1">
      <c r="A5" s="56"/>
      <c r="B5" s="62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 ht="48.0" customHeight="1">
      <c r="A6" s="56"/>
      <c r="B6" s="63" t="s">
        <v>54</v>
      </c>
      <c r="C6" s="64" t="s">
        <v>55</v>
      </c>
      <c r="D6" s="44"/>
      <c r="E6" s="65" t="s">
        <v>56</v>
      </c>
      <c r="F6" s="65" t="s">
        <v>57</v>
      </c>
      <c r="G6" s="66" t="s">
        <v>58</v>
      </c>
      <c r="H6" s="43"/>
      <c r="I6" s="43"/>
      <c r="J6" s="43"/>
      <c r="K6" s="44"/>
      <c r="L6" s="56"/>
      <c r="M6" s="56"/>
      <c r="N6" s="58"/>
      <c r="O6" s="58"/>
      <c r="P6" s="59"/>
      <c r="Q6" s="58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 ht="69.75" customHeight="1">
      <c r="A7" s="56"/>
      <c r="B7" s="67">
        <v>1.0</v>
      </c>
      <c r="C7" s="68" t="s">
        <v>59</v>
      </c>
      <c r="D7" s="44"/>
      <c r="E7" s="69">
        <v>10.0</v>
      </c>
      <c r="F7" s="70">
        <f t="shared" ref="F7:F13" si="1">ROUND(E7/20,1)</f>
        <v>0.5</v>
      </c>
      <c r="G7" s="71" t="s">
        <v>60</v>
      </c>
      <c r="H7" s="43"/>
      <c r="I7" s="43"/>
      <c r="J7" s="43"/>
      <c r="K7" s="44"/>
      <c r="L7" s="56"/>
      <c r="M7" s="56"/>
      <c r="N7" s="58"/>
      <c r="O7" s="58"/>
      <c r="P7" s="59"/>
      <c r="Q7" s="58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ht="69.75" customHeight="1">
      <c r="A8" s="56"/>
      <c r="B8" s="67">
        <v>2.0</v>
      </c>
      <c r="C8" s="68" t="s">
        <v>61</v>
      </c>
      <c r="D8" s="44"/>
      <c r="E8" s="69">
        <v>10.0</v>
      </c>
      <c r="F8" s="70">
        <f t="shared" si="1"/>
        <v>0.5</v>
      </c>
      <c r="G8" s="71" t="s">
        <v>62</v>
      </c>
      <c r="H8" s="43"/>
      <c r="I8" s="43"/>
      <c r="J8" s="43"/>
      <c r="K8" s="44"/>
      <c r="L8" s="56"/>
      <c r="M8" s="56"/>
      <c r="N8" s="58"/>
      <c r="O8" s="58"/>
      <c r="P8" s="59"/>
      <c r="Q8" s="58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ht="69.75" customHeight="1">
      <c r="A9" s="56"/>
      <c r="B9" s="67">
        <v>3.0</v>
      </c>
      <c r="C9" s="68" t="s">
        <v>63</v>
      </c>
      <c r="D9" s="44"/>
      <c r="E9" s="70">
        <f>'⑤工数明細'!N35</f>
        <v>23.125</v>
      </c>
      <c r="F9" s="70">
        <f t="shared" si="1"/>
        <v>1.2</v>
      </c>
      <c r="G9" s="72" t="s">
        <v>64</v>
      </c>
      <c r="H9" s="73"/>
      <c r="I9" s="73"/>
      <c r="J9" s="73"/>
      <c r="K9" s="74"/>
      <c r="L9" s="56"/>
      <c r="M9" s="56"/>
      <c r="N9" s="58"/>
      <c r="O9" s="58"/>
      <c r="P9" s="59"/>
      <c r="Q9" s="58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ht="69.75" customHeight="1">
      <c r="A10" s="56"/>
      <c r="B10" s="67">
        <v>4.0</v>
      </c>
      <c r="C10" s="68" t="s">
        <v>65</v>
      </c>
      <c r="D10" s="44"/>
      <c r="E10" s="70">
        <f>'⑤工数明細'!O35</f>
        <v>138.75</v>
      </c>
      <c r="F10" s="70">
        <f t="shared" si="1"/>
        <v>6.9</v>
      </c>
      <c r="G10" s="75"/>
      <c r="K10" s="76"/>
      <c r="L10" s="56"/>
      <c r="M10" s="56"/>
      <c r="N10" s="58"/>
      <c r="O10" s="58"/>
      <c r="P10" s="59"/>
      <c r="Q10" s="58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 ht="69.75" customHeight="1">
      <c r="A11" s="56"/>
      <c r="B11" s="67">
        <v>5.0</v>
      </c>
      <c r="C11" s="68" t="s">
        <v>66</v>
      </c>
      <c r="D11" s="44"/>
      <c r="E11" s="70">
        <f>'⑤工数明細'!P35</f>
        <v>69.375</v>
      </c>
      <c r="F11" s="70">
        <f t="shared" si="1"/>
        <v>3.5</v>
      </c>
      <c r="G11" s="77"/>
      <c r="H11" s="78"/>
      <c r="I11" s="78"/>
      <c r="J11" s="78"/>
      <c r="K11" s="79"/>
      <c r="L11" s="56"/>
      <c r="M11" s="56"/>
      <c r="N11" s="58"/>
      <c r="O11" s="58"/>
      <c r="P11" s="59"/>
      <c r="Q11" s="58"/>
      <c r="R11" s="56"/>
      <c r="S11" s="80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 ht="69.75" customHeight="1">
      <c r="A12" s="56"/>
      <c r="B12" s="81">
        <v>6.0</v>
      </c>
      <c r="C12" s="68" t="s">
        <v>67</v>
      </c>
      <c r="D12" s="44"/>
      <c r="E12" s="70">
        <v>20.0</v>
      </c>
      <c r="F12" s="70">
        <f t="shared" si="1"/>
        <v>1</v>
      </c>
      <c r="G12" s="71"/>
      <c r="H12" s="43"/>
      <c r="I12" s="43"/>
      <c r="J12" s="43"/>
      <c r="K12" s="44"/>
      <c r="L12" s="56"/>
      <c r="M12" s="56"/>
      <c r="N12" s="58"/>
      <c r="O12" s="58"/>
      <c r="P12" s="59"/>
      <c r="Q12" s="58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 ht="69.75" customHeight="1">
      <c r="A13" s="56"/>
      <c r="B13" s="81">
        <v>7.0</v>
      </c>
      <c r="C13" s="68" t="s">
        <v>68</v>
      </c>
      <c r="D13" s="44"/>
      <c r="E13" s="70">
        <v>3.0</v>
      </c>
      <c r="F13" s="70">
        <f t="shared" si="1"/>
        <v>0.2</v>
      </c>
      <c r="G13" s="71"/>
      <c r="H13" s="43"/>
      <c r="I13" s="43"/>
      <c r="J13" s="43"/>
      <c r="K13" s="44"/>
      <c r="L13" s="56"/>
      <c r="M13" s="56"/>
      <c r="N13" s="58"/>
      <c r="O13" s="58"/>
      <c r="P13" s="59"/>
      <c r="Q13" s="58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 ht="63.75" customHeight="1">
      <c r="A14" s="56"/>
      <c r="B14" s="82" t="s">
        <v>69</v>
      </c>
      <c r="C14" s="43"/>
      <c r="D14" s="44"/>
      <c r="E14" s="83">
        <f t="shared" ref="E14:F14" si="2">SUM(E7:E13)</f>
        <v>274.25</v>
      </c>
      <c r="F14" s="83">
        <f t="shared" si="2"/>
        <v>13.8</v>
      </c>
      <c r="G14" s="84" t="s">
        <v>70</v>
      </c>
      <c r="H14" s="43"/>
      <c r="I14" s="43"/>
      <c r="J14" s="43"/>
      <c r="K14" s="44"/>
      <c r="L14" s="56"/>
      <c r="M14" s="56"/>
      <c r="N14" s="58"/>
      <c r="O14" s="58"/>
      <c r="P14" s="59"/>
      <c r="Q14" s="58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 ht="15.75" customHeight="1">
      <c r="A15" s="56"/>
      <c r="B15" s="56"/>
      <c r="C15" s="56"/>
      <c r="D15" s="56"/>
      <c r="E15" s="56"/>
      <c r="F15" s="58"/>
      <c r="G15" s="58"/>
      <c r="H15" s="58"/>
      <c r="I15" s="80"/>
      <c r="J15" s="56"/>
      <c r="K15" s="56"/>
      <c r="L15" s="56"/>
      <c r="M15" s="56"/>
      <c r="N15" s="56"/>
      <c r="O15" s="58"/>
      <c r="P15" s="58"/>
      <c r="Q15" s="59"/>
      <c r="R15" s="58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 ht="15.7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8"/>
      <c r="P16" s="58"/>
      <c r="Q16" s="59"/>
      <c r="R16" s="58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>
      <c r="A17" s="56"/>
      <c r="B17" s="60" t="s">
        <v>71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>
      <c r="A18" s="56"/>
      <c r="B18" s="85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9"/>
      <c r="R18" s="58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 ht="54.0" customHeight="1">
      <c r="A19" s="56"/>
      <c r="B19" s="86" t="s">
        <v>54</v>
      </c>
      <c r="C19" s="87" t="s">
        <v>72</v>
      </c>
      <c r="D19" s="44"/>
      <c r="E19" s="88" t="s">
        <v>73</v>
      </c>
      <c r="F19" s="88" t="s">
        <v>74</v>
      </c>
      <c r="G19" s="89" t="s">
        <v>58</v>
      </c>
      <c r="H19" s="90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46.5" customHeight="1">
      <c r="A20" s="56"/>
      <c r="B20" s="91">
        <v>1.0</v>
      </c>
      <c r="C20" s="92" t="s">
        <v>75</v>
      </c>
      <c r="D20" s="79"/>
      <c r="E20" s="93">
        <v>5.0</v>
      </c>
      <c r="F20" s="94">
        <v>5.0</v>
      </c>
      <c r="G20" s="95"/>
      <c r="H20" s="79"/>
      <c r="I20" s="56"/>
      <c r="J20" s="56"/>
      <c r="K20" s="56"/>
      <c r="L20" s="58"/>
      <c r="M20" s="58"/>
      <c r="N20" s="59"/>
      <c r="O20" s="58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46.5" customHeight="1">
      <c r="A21" s="56"/>
      <c r="B21" s="91">
        <v>2.0</v>
      </c>
      <c r="C21" s="92" t="s">
        <v>76</v>
      </c>
      <c r="D21" s="79"/>
      <c r="E21" s="93">
        <v>5.0</v>
      </c>
      <c r="F21" s="94">
        <v>5.0</v>
      </c>
      <c r="G21" s="96"/>
      <c r="H21" s="44"/>
      <c r="I21" s="56"/>
      <c r="J21" s="56"/>
      <c r="K21" s="56"/>
      <c r="L21" s="58"/>
      <c r="M21" s="58"/>
      <c r="N21" s="59"/>
      <c r="O21" s="58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46.5" customHeight="1">
      <c r="A22" s="56"/>
      <c r="B22" s="91">
        <v>3.0</v>
      </c>
      <c r="C22" s="97" t="s">
        <v>77</v>
      </c>
      <c r="D22" s="79"/>
      <c r="E22" s="93">
        <v>5.0</v>
      </c>
      <c r="F22" s="94">
        <v>5.0</v>
      </c>
      <c r="G22" s="96"/>
      <c r="H22" s="44"/>
      <c r="I22" s="56"/>
      <c r="J22" s="56"/>
      <c r="K22" s="56"/>
      <c r="L22" s="58"/>
      <c r="M22" s="58"/>
      <c r="N22" s="59"/>
      <c r="O22" s="58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38.25" customHeight="1">
      <c r="A23" s="56"/>
      <c r="B23" s="98" t="s">
        <v>69</v>
      </c>
      <c r="C23" s="43"/>
      <c r="D23" s="44"/>
      <c r="E23" s="99">
        <f t="shared" ref="E23:F23" si="3">SUM(E20:E22)</f>
        <v>15</v>
      </c>
      <c r="F23" s="100">
        <f t="shared" si="3"/>
        <v>15</v>
      </c>
      <c r="G23" s="101"/>
      <c r="H23" s="44"/>
      <c r="I23" s="58"/>
      <c r="J23" s="58"/>
      <c r="K23" s="58"/>
      <c r="L23" s="58"/>
      <c r="M23" s="58"/>
      <c r="N23" s="59"/>
      <c r="O23" s="58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9"/>
      <c r="R24" s="58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 ht="15.75" customHeight="1">
      <c r="A25" s="56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9"/>
      <c r="R25" s="58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 ht="15.75" customHeight="1">
      <c r="A26" s="56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9"/>
      <c r="R26" s="58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8"/>
      <c r="P27" s="58"/>
      <c r="Q27" s="59"/>
      <c r="R27" s="58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8"/>
      <c r="P28" s="58"/>
      <c r="Q28" s="59"/>
      <c r="R28" s="58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8"/>
      <c r="P29" s="58"/>
      <c r="Q29" s="59"/>
      <c r="R29" s="58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8"/>
      <c r="P30" s="58"/>
      <c r="Q30" s="59"/>
      <c r="R30" s="58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8"/>
      <c r="P31" s="58"/>
      <c r="Q31" s="59"/>
      <c r="R31" s="58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8"/>
      <c r="P32" s="58"/>
      <c r="Q32" s="59"/>
      <c r="R32" s="58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8"/>
      <c r="P33" s="58"/>
      <c r="Q33" s="59"/>
      <c r="R33" s="58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8"/>
      <c r="P34" s="58"/>
      <c r="Q34" s="59"/>
      <c r="R34" s="58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8"/>
      <c r="P35" s="58"/>
      <c r="Q35" s="59"/>
      <c r="R35" s="58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8"/>
      <c r="P36" s="58"/>
      <c r="Q36" s="59"/>
      <c r="R36" s="58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8"/>
      <c r="P37" s="58"/>
      <c r="Q37" s="59"/>
      <c r="R37" s="58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8"/>
      <c r="P38" s="58"/>
      <c r="Q38" s="59"/>
      <c r="R38" s="58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8"/>
      <c r="P39" s="58"/>
      <c r="Q39" s="59"/>
      <c r="R39" s="58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8"/>
      <c r="P40" s="58"/>
      <c r="Q40" s="59"/>
      <c r="R40" s="58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8"/>
      <c r="P41" s="58"/>
      <c r="Q41" s="59"/>
      <c r="R41" s="58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8"/>
      <c r="P42" s="58"/>
      <c r="Q42" s="59"/>
      <c r="R42" s="58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8"/>
      <c r="P43" s="58"/>
      <c r="Q43" s="59"/>
      <c r="R43" s="58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8"/>
      <c r="P44" s="58"/>
      <c r="Q44" s="59"/>
      <c r="R44" s="58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8"/>
      <c r="P45" s="58"/>
      <c r="Q45" s="59"/>
      <c r="R45" s="58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8"/>
      <c r="P46" s="58"/>
      <c r="Q46" s="59"/>
      <c r="R46" s="58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8"/>
      <c r="P47" s="58"/>
      <c r="Q47" s="59"/>
      <c r="R47" s="58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8"/>
      <c r="P48" s="58"/>
      <c r="Q48" s="59"/>
      <c r="R48" s="58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8"/>
      <c r="P49" s="58"/>
      <c r="Q49" s="59"/>
      <c r="R49" s="58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8"/>
      <c r="P50" s="58"/>
      <c r="Q50" s="59"/>
      <c r="R50" s="58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8"/>
      <c r="P51" s="58"/>
      <c r="Q51" s="59"/>
      <c r="R51" s="58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8"/>
      <c r="P52" s="58"/>
      <c r="Q52" s="59"/>
      <c r="R52" s="58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8"/>
      <c r="P53" s="58"/>
      <c r="Q53" s="59"/>
      <c r="R53" s="58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8"/>
      <c r="P54" s="58"/>
      <c r="Q54" s="59"/>
      <c r="R54" s="58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8"/>
      <c r="P55" s="58"/>
      <c r="Q55" s="59"/>
      <c r="R55" s="58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8"/>
      <c r="P56" s="58"/>
      <c r="Q56" s="59"/>
      <c r="R56" s="58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8"/>
      <c r="P57" s="58"/>
      <c r="Q57" s="59"/>
      <c r="R57" s="58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8"/>
      <c r="P58" s="58"/>
      <c r="Q58" s="59"/>
      <c r="R58" s="58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8"/>
      <c r="P59" s="58"/>
      <c r="Q59" s="59"/>
      <c r="R59" s="58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8"/>
      <c r="P60" s="58"/>
      <c r="Q60" s="59"/>
      <c r="R60" s="58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8"/>
      <c r="P61" s="58"/>
      <c r="Q61" s="59"/>
      <c r="R61" s="58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8"/>
      <c r="P62" s="58"/>
      <c r="Q62" s="59"/>
      <c r="R62" s="58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8"/>
      <c r="P63" s="58"/>
      <c r="Q63" s="59"/>
      <c r="R63" s="58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8"/>
      <c r="P64" s="58"/>
      <c r="Q64" s="59"/>
      <c r="R64" s="58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8"/>
      <c r="P65" s="58"/>
      <c r="Q65" s="59"/>
      <c r="R65" s="58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8"/>
      <c r="P66" s="58"/>
      <c r="Q66" s="59"/>
      <c r="R66" s="58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8"/>
      <c r="P67" s="58"/>
      <c r="Q67" s="59"/>
      <c r="R67" s="58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8"/>
      <c r="P68" s="58"/>
      <c r="Q68" s="59"/>
      <c r="R68" s="58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8"/>
      <c r="P69" s="58"/>
      <c r="Q69" s="59"/>
      <c r="R69" s="58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8"/>
      <c r="P70" s="58"/>
      <c r="Q70" s="59"/>
      <c r="R70" s="58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8"/>
      <c r="P71" s="58"/>
      <c r="Q71" s="59"/>
      <c r="R71" s="58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8"/>
      <c r="P72" s="58"/>
      <c r="Q72" s="59"/>
      <c r="R72" s="58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8"/>
      <c r="P73" s="58"/>
      <c r="Q73" s="59"/>
      <c r="R73" s="58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8"/>
      <c r="P74" s="58"/>
      <c r="Q74" s="59"/>
      <c r="R74" s="58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8"/>
      <c r="P75" s="58"/>
      <c r="Q75" s="59"/>
      <c r="R75" s="58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8"/>
      <c r="P76" s="58"/>
      <c r="Q76" s="59"/>
      <c r="R76" s="58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8"/>
      <c r="P77" s="58"/>
      <c r="Q77" s="59"/>
      <c r="R77" s="58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8"/>
      <c r="P78" s="58"/>
      <c r="Q78" s="59"/>
      <c r="R78" s="58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8"/>
      <c r="P79" s="58"/>
      <c r="Q79" s="59"/>
      <c r="R79" s="58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8"/>
      <c r="P80" s="58"/>
      <c r="Q80" s="59"/>
      <c r="R80" s="58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8"/>
      <c r="P81" s="58"/>
      <c r="Q81" s="59"/>
      <c r="R81" s="58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8"/>
      <c r="P82" s="58"/>
      <c r="Q82" s="59"/>
      <c r="R82" s="58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8"/>
      <c r="P83" s="58"/>
      <c r="Q83" s="59"/>
      <c r="R83" s="58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8"/>
      <c r="P84" s="58"/>
      <c r="Q84" s="59"/>
      <c r="R84" s="58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8"/>
      <c r="P85" s="58"/>
      <c r="Q85" s="59"/>
      <c r="R85" s="58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8"/>
      <c r="P86" s="58"/>
      <c r="Q86" s="59"/>
      <c r="R86" s="58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8"/>
      <c r="P87" s="58"/>
      <c r="Q87" s="59"/>
      <c r="R87" s="58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8"/>
      <c r="P88" s="58"/>
      <c r="Q88" s="59"/>
      <c r="R88" s="58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8"/>
      <c r="P89" s="58"/>
      <c r="Q89" s="59"/>
      <c r="R89" s="58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8"/>
      <c r="P90" s="58"/>
      <c r="Q90" s="59"/>
      <c r="R90" s="58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8"/>
      <c r="P91" s="58"/>
      <c r="Q91" s="59"/>
      <c r="R91" s="58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8"/>
      <c r="P92" s="58"/>
      <c r="Q92" s="59"/>
      <c r="R92" s="58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8"/>
      <c r="P93" s="58"/>
      <c r="Q93" s="59"/>
      <c r="R93" s="58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8"/>
      <c r="P94" s="58"/>
      <c r="Q94" s="59"/>
      <c r="R94" s="58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8"/>
      <c r="P95" s="58"/>
      <c r="Q95" s="59"/>
      <c r="R95" s="58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8"/>
      <c r="P96" s="58"/>
      <c r="Q96" s="59"/>
      <c r="R96" s="58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8"/>
      <c r="P97" s="58"/>
      <c r="Q97" s="59"/>
      <c r="R97" s="58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8"/>
      <c r="P98" s="58"/>
      <c r="Q98" s="59"/>
      <c r="R98" s="58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8"/>
      <c r="P99" s="58"/>
      <c r="Q99" s="59"/>
      <c r="R99" s="58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8"/>
      <c r="P100" s="58"/>
      <c r="Q100" s="59"/>
      <c r="R100" s="58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8"/>
      <c r="P101" s="58"/>
      <c r="Q101" s="59"/>
      <c r="R101" s="58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8"/>
      <c r="P102" s="58"/>
      <c r="Q102" s="59"/>
      <c r="R102" s="58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8"/>
      <c r="P103" s="58"/>
      <c r="Q103" s="59"/>
      <c r="R103" s="58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8"/>
      <c r="P104" s="58"/>
      <c r="Q104" s="59"/>
      <c r="R104" s="58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8"/>
      <c r="P105" s="58"/>
      <c r="Q105" s="59"/>
      <c r="R105" s="58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8"/>
      <c r="P106" s="58"/>
      <c r="Q106" s="59"/>
      <c r="R106" s="58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8"/>
      <c r="P107" s="58"/>
      <c r="Q107" s="59"/>
      <c r="R107" s="58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8"/>
      <c r="P108" s="58"/>
      <c r="Q108" s="59"/>
      <c r="R108" s="58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8"/>
      <c r="P109" s="58"/>
      <c r="Q109" s="59"/>
      <c r="R109" s="58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8"/>
      <c r="P110" s="58"/>
      <c r="Q110" s="59"/>
      <c r="R110" s="58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8"/>
      <c r="P111" s="58"/>
      <c r="Q111" s="59"/>
      <c r="R111" s="58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8"/>
      <c r="P112" s="58"/>
      <c r="Q112" s="59"/>
      <c r="R112" s="58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8"/>
      <c r="P113" s="58"/>
      <c r="Q113" s="59"/>
      <c r="R113" s="58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8"/>
      <c r="P114" s="58"/>
      <c r="Q114" s="59"/>
      <c r="R114" s="58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8"/>
      <c r="P115" s="58"/>
      <c r="Q115" s="59"/>
      <c r="R115" s="58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8"/>
      <c r="P116" s="58"/>
      <c r="Q116" s="59"/>
      <c r="R116" s="58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8"/>
      <c r="P117" s="58"/>
      <c r="Q117" s="59"/>
      <c r="R117" s="58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8"/>
      <c r="P118" s="58"/>
      <c r="Q118" s="59"/>
      <c r="R118" s="58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8"/>
      <c r="P119" s="58"/>
      <c r="Q119" s="59"/>
      <c r="R119" s="58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8"/>
      <c r="P120" s="58"/>
      <c r="Q120" s="59"/>
      <c r="R120" s="58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8"/>
      <c r="P121" s="58"/>
      <c r="Q121" s="59"/>
      <c r="R121" s="58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8"/>
      <c r="P122" s="58"/>
      <c r="Q122" s="59"/>
      <c r="R122" s="58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8"/>
      <c r="P123" s="58"/>
      <c r="Q123" s="59"/>
      <c r="R123" s="58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8"/>
      <c r="P124" s="58"/>
      <c r="Q124" s="59"/>
      <c r="R124" s="58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8"/>
      <c r="P125" s="58"/>
      <c r="Q125" s="59"/>
      <c r="R125" s="58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8"/>
      <c r="P126" s="58"/>
      <c r="Q126" s="59"/>
      <c r="R126" s="58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8"/>
      <c r="P127" s="58"/>
      <c r="Q127" s="59"/>
      <c r="R127" s="58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8"/>
      <c r="P128" s="58"/>
      <c r="Q128" s="59"/>
      <c r="R128" s="58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8"/>
      <c r="P129" s="58"/>
      <c r="Q129" s="59"/>
      <c r="R129" s="58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8"/>
      <c r="P130" s="58"/>
      <c r="Q130" s="59"/>
      <c r="R130" s="58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8"/>
      <c r="P131" s="58"/>
      <c r="Q131" s="59"/>
      <c r="R131" s="58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8"/>
      <c r="P132" s="58"/>
      <c r="Q132" s="59"/>
      <c r="R132" s="58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8"/>
      <c r="P133" s="58"/>
      <c r="Q133" s="59"/>
      <c r="R133" s="58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8"/>
      <c r="P134" s="58"/>
      <c r="Q134" s="59"/>
      <c r="R134" s="58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8"/>
      <c r="P135" s="58"/>
      <c r="Q135" s="59"/>
      <c r="R135" s="58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8"/>
      <c r="P136" s="58"/>
      <c r="Q136" s="59"/>
      <c r="R136" s="58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8"/>
      <c r="P137" s="58"/>
      <c r="Q137" s="59"/>
      <c r="R137" s="58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8"/>
      <c r="P138" s="58"/>
      <c r="Q138" s="59"/>
      <c r="R138" s="58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8"/>
      <c r="P139" s="58"/>
      <c r="Q139" s="59"/>
      <c r="R139" s="58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8"/>
      <c r="P140" s="58"/>
      <c r="Q140" s="59"/>
      <c r="R140" s="58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8"/>
      <c r="P141" s="58"/>
      <c r="Q141" s="59"/>
      <c r="R141" s="58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8"/>
      <c r="P142" s="58"/>
      <c r="Q142" s="59"/>
      <c r="R142" s="58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8"/>
      <c r="P143" s="58"/>
      <c r="Q143" s="59"/>
      <c r="R143" s="58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8"/>
      <c r="P144" s="58"/>
      <c r="Q144" s="59"/>
      <c r="R144" s="58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8"/>
      <c r="P145" s="58"/>
      <c r="Q145" s="59"/>
      <c r="R145" s="58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8"/>
      <c r="P146" s="58"/>
      <c r="Q146" s="59"/>
      <c r="R146" s="58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8"/>
      <c r="P147" s="58"/>
      <c r="Q147" s="59"/>
      <c r="R147" s="58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8"/>
      <c r="P148" s="58"/>
      <c r="Q148" s="59"/>
      <c r="R148" s="58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8"/>
      <c r="P149" s="58"/>
      <c r="Q149" s="59"/>
      <c r="R149" s="58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8"/>
      <c r="P150" s="58"/>
      <c r="Q150" s="59"/>
      <c r="R150" s="58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8"/>
      <c r="P151" s="58"/>
      <c r="Q151" s="59"/>
      <c r="R151" s="58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8"/>
      <c r="P152" s="58"/>
      <c r="Q152" s="59"/>
      <c r="R152" s="58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8"/>
      <c r="P153" s="58"/>
      <c r="Q153" s="59"/>
      <c r="R153" s="58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8"/>
      <c r="P154" s="58"/>
      <c r="Q154" s="59"/>
      <c r="R154" s="58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8"/>
      <c r="P155" s="58"/>
      <c r="Q155" s="59"/>
      <c r="R155" s="58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8"/>
      <c r="P156" s="58"/>
      <c r="Q156" s="59"/>
      <c r="R156" s="58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8"/>
      <c r="P157" s="58"/>
      <c r="Q157" s="59"/>
      <c r="R157" s="58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8"/>
      <c r="P158" s="58"/>
      <c r="Q158" s="59"/>
      <c r="R158" s="58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8"/>
      <c r="P159" s="58"/>
      <c r="Q159" s="59"/>
      <c r="R159" s="58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8"/>
      <c r="P160" s="58"/>
      <c r="Q160" s="59"/>
      <c r="R160" s="58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8"/>
      <c r="P161" s="58"/>
      <c r="Q161" s="59"/>
      <c r="R161" s="58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8"/>
      <c r="P162" s="58"/>
      <c r="Q162" s="59"/>
      <c r="R162" s="58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8"/>
      <c r="P163" s="58"/>
      <c r="Q163" s="59"/>
      <c r="R163" s="58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8"/>
      <c r="P164" s="58"/>
      <c r="Q164" s="59"/>
      <c r="R164" s="58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8"/>
      <c r="P165" s="58"/>
      <c r="Q165" s="59"/>
      <c r="R165" s="58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8"/>
      <c r="P166" s="58"/>
      <c r="Q166" s="59"/>
      <c r="R166" s="58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8"/>
      <c r="P167" s="58"/>
      <c r="Q167" s="59"/>
      <c r="R167" s="58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8"/>
      <c r="P168" s="58"/>
      <c r="Q168" s="59"/>
      <c r="R168" s="58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8"/>
      <c r="P169" s="58"/>
      <c r="Q169" s="59"/>
      <c r="R169" s="58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8"/>
      <c r="P170" s="58"/>
      <c r="Q170" s="59"/>
      <c r="R170" s="58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8"/>
      <c r="P171" s="58"/>
      <c r="Q171" s="59"/>
      <c r="R171" s="58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8"/>
      <c r="P172" s="58"/>
      <c r="Q172" s="59"/>
      <c r="R172" s="58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8"/>
      <c r="P173" s="58"/>
      <c r="Q173" s="59"/>
      <c r="R173" s="58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8"/>
      <c r="P174" s="58"/>
      <c r="Q174" s="59"/>
      <c r="R174" s="58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8"/>
      <c r="P175" s="58"/>
      <c r="Q175" s="59"/>
      <c r="R175" s="58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8"/>
      <c r="P176" s="58"/>
      <c r="Q176" s="59"/>
      <c r="R176" s="58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8"/>
      <c r="P177" s="58"/>
      <c r="Q177" s="59"/>
      <c r="R177" s="58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8"/>
      <c r="P178" s="58"/>
      <c r="Q178" s="59"/>
      <c r="R178" s="58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8"/>
      <c r="P179" s="58"/>
      <c r="Q179" s="59"/>
      <c r="R179" s="58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8"/>
      <c r="P180" s="58"/>
      <c r="Q180" s="59"/>
      <c r="R180" s="58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8"/>
      <c r="P181" s="58"/>
      <c r="Q181" s="59"/>
      <c r="R181" s="58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8"/>
      <c r="P182" s="58"/>
      <c r="Q182" s="59"/>
      <c r="R182" s="58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8"/>
      <c r="P183" s="58"/>
      <c r="Q183" s="59"/>
      <c r="R183" s="58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8"/>
      <c r="P184" s="58"/>
      <c r="Q184" s="59"/>
      <c r="R184" s="58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8"/>
      <c r="P185" s="58"/>
      <c r="Q185" s="59"/>
      <c r="R185" s="58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8"/>
      <c r="P186" s="58"/>
      <c r="Q186" s="59"/>
      <c r="R186" s="58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8"/>
      <c r="P187" s="58"/>
      <c r="Q187" s="59"/>
      <c r="R187" s="58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8"/>
      <c r="P188" s="58"/>
      <c r="Q188" s="59"/>
      <c r="R188" s="58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8"/>
      <c r="P189" s="58"/>
      <c r="Q189" s="59"/>
      <c r="R189" s="58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8"/>
      <c r="P190" s="58"/>
      <c r="Q190" s="59"/>
      <c r="R190" s="58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8"/>
      <c r="P191" s="58"/>
      <c r="Q191" s="59"/>
      <c r="R191" s="58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8"/>
      <c r="P192" s="58"/>
      <c r="Q192" s="59"/>
      <c r="R192" s="58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8"/>
      <c r="P193" s="58"/>
      <c r="Q193" s="59"/>
      <c r="R193" s="58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8"/>
      <c r="P194" s="58"/>
      <c r="Q194" s="59"/>
      <c r="R194" s="58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8"/>
      <c r="P195" s="58"/>
      <c r="Q195" s="59"/>
      <c r="R195" s="58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8"/>
      <c r="P196" s="58"/>
      <c r="Q196" s="59"/>
      <c r="R196" s="58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8"/>
      <c r="P197" s="58"/>
      <c r="Q197" s="59"/>
      <c r="R197" s="58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8"/>
      <c r="P198" s="58"/>
      <c r="Q198" s="59"/>
      <c r="R198" s="58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8"/>
      <c r="P199" s="58"/>
      <c r="Q199" s="59"/>
      <c r="R199" s="58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8"/>
      <c r="P200" s="58"/>
      <c r="Q200" s="59"/>
      <c r="R200" s="58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8"/>
      <c r="P201" s="58"/>
      <c r="Q201" s="59"/>
      <c r="R201" s="58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8"/>
      <c r="P202" s="58"/>
      <c r="Q202" s="59"/>
      <c r="R202" s="58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8"/>
      <c r="P203" s="58"/>
      <c r="Q203" s="59"/>
      <c r="R203" s="58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8"/>
      <c r="P204" s="58"/>
      <c r="Q204" s="59"/>
      <c r="R204" s="58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8"/>
      <c r="P205" s="58"/>
      <c r="Q205" s="59"/>
      <c r="R205" s="58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8"/>
      <c r="P206" s="58"/>
      <c r="Q206" s="59"/>
      <c r="R206" s="58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8"/>
      <c r="P207" s="58"/>
      <c r="Q207" s="59"/>
      <c r="R207" s="58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8"/>
      <c r="P208" s="58"/>
      <c r="Q208" s="59"/>
      <c r="R208" s="58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8"/>
      <c r="P209" s="58"/>
      <c r="Q209" s="59"/>
      <c r="R209" s="58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8"/>
      <c r="P210" s="58"/>
      <c r="Q210" s="59"/>
      <c r="R210" s="58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8"/>
      <c r="P211" s="58"/>
      <c r="Q211" s="59"/>
      <c r="R211" s="58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8"/>
      <c r="P212" s="58"/>
      <c r="Q212" s="59"/>
      <c r="R212" s="58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8"/>
      <c r="P213" s="58"/>
      <c r="Q213" s="59"/>
      <c r="R213" s="58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8"/>
      <c r="P214" s="58"/>
      <c r="Q214" s="59"/>
      <c r="R214" s="58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</sheetData>
  <mergeCells count="30">
    <mergeCell ref="B3:K3"/>
    <mergeCell ref="B4:K4"/>
    <mergeCell ref="B5:K5"/>
    <mergeCell ref="C6:D6"/>
    <mergeCell ref="G6:K6"/>
    <mergeCell ref="C7:D7"/>
    <mergeCell ref="C8:D8"/>
    <mergeCell ref="G19:H19"/>
    <mergeCell ref="G20:H20"/>
    <mergeCell ref="G21:H21"/>
    <mergeCell ref="G22:H22"/>
    <mergeCell ref="G23:H23"/>
    <mergeCell ref="G7:K7"/>
    <mergeCell ref="G8:K8"/>
    <mergeCell ref="G9:K11"/>
    <mergeCell ref="G12:K12"/>
    <mergeCell ref="G13:K13"/>
    <mergeCell ref="G14:K14"/>
    <mergeCell ref="B17:K17"/>
    <mergeCell ref="C20:D20"/>
    <mergeCell ref="C21:D21"/>
    <mergeCell ref="C22:D22"/>
    <mergeCell ref="B23:D23"/>
    <mergeCell ref="C9:D9"/>
    <mergeCell ref="C10:D10"/>
    <mergeCell ref="C11:D11"/>
    <mergeCell ref="C12:D12"/>
    <mergeCell ref="C13:D13"/>
    <mergeCell ref="B14:D14"/>
    <mergeCell ref="C19:D19"/>
  </mergeCells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 outlineLevelCol="1"/>
  <cols>
    <col customWidth="1" min="1" max="1" width="4.38"/>
    <col customWidth="1" min="3" max="4" width="18.13"/>
    <col customWidth="1" min="5" max="5" width="21.88"/>
    <col customWidth="1" min="6" max="6" width="57.63"/>
    <col customWidth="1" min="7" max="7" width="60.75"/>
    <col customWidth="1" min="8" max="8" width="15.5"/>
    <col customWidth="1" min="9" max="9" width="15.38"/>
    <col customWidth="1" min="15" max="15" width="19.75"/>
    <col customWidth="1" min="16" max="16" width="14.75"/>
    <col min="21" max="23" width="12.63" outlineLevel="1"/>
  </cols>
  <sheetData>
    <row r="1">
      <c r="B1" s="103"/>
      <c r="C1" s="103"/>
      <c r="D1" s="103"/>
      <c r="H1" s="103"/>
      <c r="I1" s="103"/>
      <c r="J1" s="104"/>
      <c r="K1" s="104"/>
      <c r="L1" s="105"/>
      <c r="M1" s="104"/>
      <c r="N1" s="104"/>
      <c r="O1" s="104"/>
      <c r="P1" s="104"/>
      <c r="Q1" s="104"/>
      <c r="R1" s="104"/>
      <c r="U1" s="106"/>
      <c r="V1" s="107"/>
      <c r="W1" s="107"/>
    </row>
    <row r="2">
      <c r="B2" s="103"/>
      <c r="C2" s="103"/>
      <c r="D2" s="103"/>
      <c r="H2" s="103"/>
      <c r="I2" s="103"/>
      <c r="J2" s="104"/>
      <c r="K2" s="106" t="s">
        <v>78</v>
      </c>
      <c r="L2" s="108" t="s">
        <v>79</v>
      </c>
      <c r="M2" s="107"/>
      <c r="N2" s="109"/>
      <c r="O2" s="109"/>
      <c r="P2" s="109"/>
      <c r="Q2" s="107"/>
      <c r="R2" s="107"/>
      <c r="U2" s="106"/>
      <c r="V2" s="107"/>
      <c r="W2" s="107"/>
    </row>
    <row r="3">
      <c r="B3" s="110" t="s">
        <v>80</v>
      </c>
      <c r="C3" s="43"/>
      <c r="D3" s="43"/>
      <c r="E3" s="43"/>
      <c r="F3" s="43"/>
      <c r="G3" s="43"/>
      <c r="H3" s="44"/>
      <c r="I3" s="103"/>
      <c r="J3" s="104"/>
      <c r="K3" s="111" t="s">
        <v>81</v>
      </c>
      <c r="L3" s="112">
        <v>250.0</v>
      </c>
      <c r="M3" s="113"/>
      <c r="N3" s="114" t="s">
        <v>82</v>
      </c>
      <c r="O3" s="43"/>
      <c r="P3" s="43"/>
      <c r="Q3" s="43"/>
      <c r="R3" s="44"/>
      <c r="U3" s="106"/>
      <c r="V3" s="107"/>
      <c r="W3" s="107"/>
    </row>
    <row r="4">
      <c r="B4" s="103"/>
      <c r="C4" s="103"/>
      <c r="D4" s="103"/>
      <c r="E4" s="115"/>
      <c r="H4" s="103"/>
      <c r="I4" s="103"/>
      <c r="J4" s="104"/>
      <c r="K4" s="104"/>
      <c r="L4" s="105"/>
      <c r="M4" s="104"/>
      <c r="N4" s="104"/>
      <c r="O4" s="104"/>
      <c r="P4" s="104"/>
      <c r="Q4" s="104"/>
      <c r="R4" s="104"/>
      <c r="U4" s="106" t="s">
        <v>83</v>
      </c>
      <c r="V4" s="107"/>
      <c r="W4" s="107"/>
    </row>
    <row r="5">
      <c r="B5" s="116" t="s">
        <v>54</v>
      </c>
      <c r="C5" s="117" t="s">
        <v>84</v>
      </c>
      <c r="D5" s="117" t="s">
        <v>85</v>
      </c>
      <c r="E5" s="117" t="s">
        <v>86</v>
      </c>
      <c r="F5" s="117" t="s">
        <v>87</v>
      </c>
      <c r="G5" s="117" t="s">
        <v>88</v>
      </c>
      <c r="H5" s="117" t="s">
        <v>89</v>
      </c>
      <c r="I5" s="117" t="s">
        <v>90</v>
      </c>
      <c r="J5" s="118"/>
      <c r="K5" s="118"/>
      <c r="L5" s="119"/>
      <c r="M5" s="118"/>
      <c r="N5" s="120" t="s">
        <v>91</v>
      </c>
      <c r="O5" s="121"/>
      <c r="P5" s="121"/>
      <c r="Q5" s="122"/>
      <c r="R5" s="123"/>
      <c r="U5" s="107"/>
      <c r="V5" s="124"/>
      <c r="W5" s="125">
        <f>1/(1/W6+1/W7+1/W8)</f>
        <v>1.2</v>
      </c>
    </row>
    <row r="6">
      <c r="B6" s="126"/>
      <c r="C6" s="127"/>
      <c r="D6" s="127"/>
      <c r="E6" s="127"/>
      <c r="F6" s="127"/>
      <c r="G6" s="127"/>
      <c r="H6" s="127"/>
      <c r="I6" s="127"/>
      <c r="J6" s="128" t="s">
        <v>78</v>
      </c>
      <c r="K6" s="128" t="s">
        <v>92</v>
      </c>
      <c r="L6" s="129" t="s">
        <v>93</v>
      </c>
      <c r="M6" s="128" t="s">
        <v>94</v>
      </c>
      <c r="N6" s="130" t="s">
        <v>95</v>
      </c>
      <c r="O6" s="130" t="s">
        <v>65</v>
      </c>
      <c r="P6" s="130" t="s">
        <v>66</v>
      </c>
      <c r="Q6" s="131" t="s">
        <v>69</v>
      </c>
      <c r="R6" s="132" t="s">
        <v>58</v>
      </c>
      <c r="U6" s="106" t="s">
        <v>96</v>
      </c>
      <c r="V6" s="125">
        <v>12000.0</v>
      </c>
      <c r="W6" s="125">
        <f t="shared" ref="W6:W8" si="1">V6/1000</f>
        <v>12</v>
      </c>
    </row>
    <row r="7" ht="96.75" customHeight="1">
      <c r="B7" s="133">
        <v>1.0</v>
      </c>
      <c r="C7" s="134" t="s">
        <v>97</v>
      </c>
      <c r="D7" s="134" t="s">
        <v>98</v>
      </c>
      <c r="E7" s="135" t="s">
        <v>99</v>
      </c>
      <c r="F7" s="135" t="s">
        <v>100</v>
      </c>
      <c r="G7" s="135" t="s">
        <v>101</v>
      </c>
      <c r="H7" s="134" t="s">
        <v>102</v>
      </c>
      <c r="I7" s="134">
        <v>1.0</v>
      </c>
      <c r="J7" s="136">
        <v>4.0</v>
      </c>
      <c r="K7" s="137"/>
      <c r="L7" s="138">
        <f t="shared" ref="L7:L34" si="2">$L$3*J7+K7</f>
        <v>1000</v>
      </c>
      <c r="M7" s="137"/>
      <c r="N7" s="139">
        <f t="shared" ref="N7:N34" si="3">L7/$V$6*20</f>
        <v>1.666666667</v>
      </c>
      <c r="O7" s="139">
        <f t="shared" ref="O7:O34" si="4">L7/$V$7*20</f>
        <v>10</v>
      </c>
      <c r="P7" s="139">
        <f t="shared" ref="P7:P34" si="5">L7/$V$8*20</f>
        <v>5</v>
      </c>
      <c r="Q7" s="139">
        <f t="shared" ref="Q7:Q34" si="6">N7+O7+P7</f>
        <v>16.66666667</v>
      </c>
      <c r="R7" s="140"/>
      <c r="U7" s="106" t="s">
        <v>103</v>
      </c>
      <c r="V7" s="125">
        <v>2000.0</v>
      </c>
      <c r="W7" s="125">
        <f t="shared" si="1"/>
        <v>2</v>
      </c>
    </row>
    <row r="8" ht="42.75" customHeight="1">
      <c r="B8" s="133">
        <v>2.0</v>
      </c>
      <c r="C8" s="134" t="s">
        <v>97</v>
      </c>
      <c r="D8" s="134" t="s">
        <v>104</v>
      </c>
      <c r="E8" s="135" t="s">
        <v>99</v>
      </c>
      <c r="F8" s="135" t="s">
        <v>105</v>
      </c>
      <c r="G8" s="135" t="s">
        <v>106</v>
      </c>
      <c r="H8" s="134" t="s">
        <v>102</v>
      </c>
      <c r="I8" s="134">
        <v>1.0</v>
      </c>
      <c r="J8" s="136">
        <v>2.0</v>
      </c>
      <c r="K8" s="137"/>
      <c r="L8" s="138">
        <f t="shared" si="2"/>
        <v>500</v>
      </c>
      <c r="M8" s="137"/>
      <c r="N8" s="139">
        <f t="shared" si="3"/>
        <v>0.8333333333</v>
      </c>
      <c r="O8" s="139">
        <f t="shared" si="4"/>
        <v>5</v>
      </c>
      <c r="P8" s="139">
        <f t="shared" si="5"/>
        <v>2.5</v>
      </c>
      <c r="Q8" s="139">
        <f t="shared" si="6"/>
        <v>8.333333333</v>
      </c>
      <c r="R8" s="140"/>
      <c r="U8" s="141" t="s">
        <v>107</v>
      </c>
      <c r="V8" s="142">
        <v>4000.0</v>
      </c>
      <c r="W8" s="125">
        <f t="shared" si="1"/>
        <v>4</v>
      </c>
    </row>
    <row r="9" ht="87.0" customHeight="1">
      <c r="B9" s="133">
        <v>3.0</v>
      </c>
      <c r="C9" s="134" t="s">
        <v>97</v>
      </c>
      <c r="D9" s="134" t="s">
        <v>108</v>
      </c>
      <c r="E9" s="135" t="s">
        <v>99</v>
      </c>
      <c r="F9" s="135" t="s">
        <v>109</v>
      </c>
      <c r="G9" s="135" t="s">
        <v>110</v>
      </c>
      <c r="H9" s="134" t="s">
        <v>102</v>
      </c>
      <c r="I9" s="134">
        <v>1.0</v>
      </c>
      <c r="J9" s="136">
        <v>3.0</v>
      </c>
      <c r="K9" s="137"/>
      <c r="L9" s="138">
        <f t="shared" si="2"/>
        <v>750</v>
      </c>
      <c r="M9" s="137"/>
      <c r="N9" s="139">
        <f t="shared" si="3"/>
        <v>1.25</v>
      </c>
      <c r="O9" s="139">
        <f t="shared" si="4"/>
        <v>7.5</v>
      </c>
      <c r="P9" s="139">
        <f t="shared" si="5"/>
        <v>3.75</v>
      </c>
      <c r="Q9" s="139">
        <f t="shared" si="6"/>
        <v>12.5</v>
      </c>
      <c r="R9" s="140"/>
    </row>
    <row r="10" ht="94.5" customHeight="1">
      <c r="B10" s="133">
        <v>4.0</v>
      </c>
      <c r="C10" s="134" t="s">
        <v>97</v>
      </c>
      <c r="D10" s="134" t="s">
        <v>111</v>
      </c>
      <c r="E10" s="135" t="s">
        <v>99</v>
      </c>
      <c r="F10" s="135" t="s">
        <v>112</v>
      </c>
      <c r="G10" s="135" t="s">
        <v>113</v>
      </c>
      <c r="H10" s="134" t="s">
        <v>102</v>
      </c>
      <c r="I10" s="134">
        <v>2.0</v>
      </c>
      <c r="J10" s="136">
        <v>3.0</v>
      </c>
      <c r="K10" s="137"/>
      <c r="L10" s="138">
        <f t="shared" si="2"/>
        <v>750</v>
      </c>
      <c r="M10" s="137"/>
      <c r="N10" s="139">
        <f t="shared" si="3"/>
        <v>1.25</v>
      </c>
      <c r="O10" s="139">
        <f t="shared" si="4"/>
        <v>7.5</v>
      </c>
      <c r="P10" s="139">
        <f t="shared" si="5"/>
        <v>3.75</v>
      </c>
      <c r="Q10" s="139">
        <f t="shared" si="6"/>
        <v>12.5</v>
      </c>
      <c r="R10" s="140"/>
    </row>
    <row r="11" ht="63.75" customHeight="1">
      <c r="B11" s="133">
        <v>5.0</v>
      </c>
      <c r="C11" s="134" t="s">
        <v>97</v>
      </c>
      <c r="D11" s="134" t="s">
        <v>114</v>
      </c>
      <c r="E11" s="135" t="s">
        <v>99</v>
      </c>
      <c r="F11" s="135" t="s">
        <v>115</v>
      </c>
      <c r="G11" s="135" t="s">
        <v>113</v>
      </c>
      <c r="H11" s="134" t="s">
        <v>102</v>
      </c>
      <c r="I11" s="134">
        <v>1.0</v>
      </c>
      <c r="J11" s="136">
        <v>2.0</v>
      </c>
      <c r="K11" s="137"/>
      <c r="L11" s="138">
        <f t="shared" si="2"/>
        <v>500</v>
      </c>
      <c r="M11" s="137"/>
      <c r="N11" s="139">
        <f t="shared" si="3"/>
        <v>0.8333333333</v>
      </c>
      <c r="O11" s="139">
        <f t="shared" si="4"/>
        <v>5</v>
      </c>
      <c r="P11" s="139">
        <f t="shared" si="5"/>
        <v>2.5</v>
      </c>
      <c r="Q11" s="139">
        <f t="shared" si="6"/>
        <v>8.333333333</v>
      </c>
      <c r="R11" s="140"/>
    </row>
    <row r="12" ht="72.75" customHeight="1">
      <c r="B12" s="133">
        <v>6.0</v>
      </c>
      <c r="C12" s="134" t="s">
        <v>97</v>
      </c>
      <c r="D12" s="134" t="s">
        <v>116</v>
      </c>
      <c r="E12" s="135" t="s">
        <v>99</v>
      </c>
      <c r="F12" s="135" t="s">
        <v>117</v>
      </c>
      <c r="G12" s="135" t="s">
        <v>113</v>
      </c>
      <c r="H12" s="134" t="s">
        <v>102</v>
      </c>
      <c r="I12" s="134">
        <v>1.0</v>
      </c>
      <c r="J12" s="136">
        <v>2.0</v>
      </c>
      <c r="K12" s="137"/>
      <c r="L12" s="138">
        <f t="shared" si="2"/>
        <v>500</v>
      </c>
      <c r="M12" s="137"/>
      <c r="N12" s="139">
        <f t="shared" si="3"/>
        <v>0.8333333333</v>
      </c>
      <c r="O12" s="139">
        <f t="shared" si="4"/>
        <v>5</v>
      </c>
      <c r="P12" s="139">
        <f t="shared" si="5"/>
        <v>2.5</v>
      </c>
      <c r="Q12" s="139">
        <f t="shared" si="6"/>
        <v>8.333333333</v>
      </c>
      <c r="R12" s="140"/>
    </row>
    <row r="13" ht="55.5" customHeight="1">
      <c r="B13" s="133">
        <v>7.0</v>
      </c>
      <c r="C13" s="134" t="s">
        <v>97</v>
      </c>
      <c r="D13" s="134" t="s">
        <v>118</v>
      </c>
      <c r="E13" s="135" t="s">
        <v>99</v>
      </c>
      <c r="F13" s="135" t="s">
        <v>119</v>
      </c>
      <c r="G13" s="135" t="s">
        <v>120</v>
      </c>
      <c r="H13" s="134" t="s">
        <v>121</v>
      </c>
      <c r="I13" s="134">
        <v>2.0</v>
      </c>
      <c r="J13" s="136">
        <v>1.5</v>
      </c>
      <c r="K13" s="137"/>
      <c r="L13" s="138">
        <f t="shared" si="2"/>
        <v>375</v>
      </c>
      <c r="M13" s="137"/>
      <c r="N13" s="139">
        <f t="shared" si="3"/>
        <v>0.625</v>
      </c>
      <c r="O13" s="139">
        <f t="shared" si="4"/>
        <v>3.75</v>
      </c>
      <c r="P13" s="139">
        <f t="shared" si="5"/>
        <v>1.875</v>
      </c>
      <c r="Q13" s="139">
        <f t="shared" si="6"/>
        <v>6.25</v>
      </c>
      <c r="R13" s="140"/>
    </row>
    <row r="14" ht="48.0" customHeight="1">
      <c r="B14" s="133">
        <v>8.0</v>
      </c>
      <c r="C14" s="134" t="s">
        <v>97</v>
      </c>
      <c r="D14" s="134" t="s">
        <v>122</v>
      </c>
      <c r="E14" s="135" t="s">
        <v>99</v>
      </c>
      <c r="F14" s="135" t="s">
        <v>123</v>
      </c>
      <c r="G14" s="135" t="s">
        <v>124</v>
      </c>
      <c r="H14" s="134" t="s">
        <v>121</v>
      </c>
      <c r="I14" s="134">
        <v>3.0</v>
      </c>
      <c r="J14" s="136">
        <v>1.5</v>
      </c>
      <c r="K14" s="137"/>
      <c r="L14" s="138">
        <f t="shared" si="2"/>
        <v>375</v>
      </c>
      <c r="M14" s="137"/>
      <c r="N14" s="139">
        <f t="shared" si="3"/>
        <v>0.625</v>
      </c>
      <c r="O14" s="139">
        <f t="shared" si="4"/>
        <v>3.75</v>
      </c>
      <c r="P14" s="139">
        <f t="shared" si="5"/>
        <v>1.875</v>
      </c>
      <c r="Q14" s="139">
        <f t="shared" si="6"/>
        <v>6.25</v>
      </c>
      <c r="R14" s="140"/>
    </row>
    <row r="15" ht="48.0" customHeight="1">
      <c r="B15" s="133">
        <v>9.0</v>
      </c>
      <c r="C15" s="134" t="s">
        <v>125</v>
      </c>
      <c r="D15" s="134" t="s">
        <v>126</v>
      </c>
      <c r="E15" s="135" t="s">
        <v>127</v>
      </c>
      <c r="F15" s="135" t="s">
        <v>128</v>
      </c>
      <c r="G15" s="135" t="s">
        <v>129</v>
      </c>
      <c r="H15" s="134" t="s">
        <v>130</v>
      </c>
      <c r="I15" s="134">
        <v>3.0</v>
      </c>
      <c r="J15" s="136">
        <v>3.0</v>
      </c>
      <c r="K15" s="137"/>
      <c r="L15" s="138">
        <f t="shared" si="2"/>
        <v>750</v>
      </c>
      <c r="M15" s="137"/>
      <c r="N15" s="139">
        <f t="shared" si="3"/>
        <v>1.25</v>
      </c>
      <c r="O15" s="139">
        <f t="shared" si="4"/>
        <v>7.5</v>
      </c>
      <c r="P15" s="139">
        <f t="shared" si="5"/>
        <v>3.75</v>
      </c>
      <c r="Q15" s="139">
        <f t="shared" si="6"/>
        <v>12.5</v>
      </c>
      <c r="R15" s="140"/>
    </row>
    <row r="16">
      <c r="B16" s="133">
        <v>10.0</v>
      </c>
      <c r="C16" s="134" t="s">
        <v>125</v>
      </c>
      <c r="D16" s="134" t="s">
        <v>131</v>
      </c>
      <c r="E16" s="135" t="s">
        <v>127</v>
      </c>
      <c r="F16" s="135" t="s">
        <v>132</v>
      </c>
      <c r="G16" s="135" t="s">
        <v>133</v>
      </c>
      <c r="H16" s="134" t="s">
        <v>121</v>
      </c>
      <c r="I16" s="134">
        <v>3.0</v>
      </c>
      <c r="J16" s="136">
        <v>1.0</v>
      </c>
      <c r="K16" s="137"/>
      <c r="L16" s="138">
        <f t="shared" si="2"/>
        <v>250</v>
      </c>
      <c r="M16" s="137"/>
      <c r="N16" s="139">
        <f t="shared" si="3"/>
        <v>0.4166666667</v>
      </c>
      <c r="O16" s="139">
        <f t="shared" si="4"/>
        <v>2.5</v>
      </c>
      <c r="P16" s="139">
        <f t="shared" si="5"/>
        <v>1.25</v>
      </c>
      <c r="Q16" s="139">
        <f t="shared" si="6"/>
        <v>4.166666667</v>
      </c>
      <c r="R16" s="140"/>
    </row>
    <row r="17" ht="90.75" customHeight="1">
      <c r="B17" s="133">
        <v>11.0</v>
      </c>
      <c r="C17" s="134" t="s">
        <v>125</v>
      </c>
      <c r="D17" s="134" t="s">
        <v>134</v>
      </c>
      <c r="E17" s="135" t="s">
        <v>127</v>
      </c>
      <c r="F17" s="135" t="s">
        <v>135</v>
      </c>
      <c r="G17" s="135" t="s">
        <v>136</v>
      </c>
      <c r="H17" s="134" t="s">
        <v>102</v>
      </c>
      <c r="I17" s="134">
        <v>2.0</v>
      </c>
      <c r="J17" s="136">
        <v>2.0</v>
      </c>
      <c r="K17" s="137"/>
      <c r="L17" s="138">
        <f t="shared" si="2"/>
        <v>500</v>
      </c>
      <c r="M17" s="137"/>
      <c r="N17" s="139">
        <f t="shared" si="3"/>
        <v>0.8333333333</v>
      </c>
      <c r="O17" s="139">
        <f t="shared" si="4"/>
        <v>5</v>
      </c>
      <c r="P17" s="139">
        <f t="shared" si="5"/>
        <v>2.5</v>
      </c>
      <c r="Q17" s="139">
        <f t="shared" si="6"/>
        <v>8.333333333</v>
      </c>
      <c r="R17" s="140"/>
    </row>
    <row r="18" ht="57.0" customHeight="1">
      <c r="B18" s="133">
        <v>12.0</v>
      </c>
      <c r="C18" s="134" t="s">
        <v>125</v>
      </c>
      <c r="D18" s="134" t="s">
        <v>137</v>
      </c>
      <c r="E18" s="135" t="s">
        <v>127</v>
      </c>
      <c r="F18" s="135" t="s">
        <v>138</v>
      </c>
      <c r="G18" s="135" t="s">
        <v>139</v>
      </c>
      <c r="H18" s="134" t="s">
        <v>130</v>
      </c>
      <c r="I18" s="134">
        <v>2.0</v>
      </c>
      <c r="J18" s="136">
        <v>1.5</v>
      </c>
      <c r="K18" s="137"/>
      <c r="L18" s="138">
        <f t="shared" si="2"/>
        <v>375</v>
      </c>
      <c r="M18" s="137"/>
      <c r="N18" s="139">
        <f t="shared" si="3"/>
        <v>0.625</v>
      </c>
      <c r="O18" s="139">
        <f t="shared" si="4"/>
        <v>3.75</v>
      </c>
      <c r="P18" s="139">
        <f t="shared" si="5"/>
        <v>1.875</v>
      </c>
      <c r="Q18" s="139">
        <f t="shared" si="6"/>
        <v>6.25</v>
      </c>
      <c r="R18" s="140"/>
    </row>
    <row r="19">
      <c r="B19" s="133">
        <v>13.0</v>
      </c>
      <c r="C19" s="134" t="s">
        <v>125</v>
      </c>
      <c r="D19" s="134" t="s">
        <v>140</v>
      </c>
      <c r="E19" s="135" t="s">
        <v>141</v>
      </c>
      <c r="F19" s="135" t="s">
        <v>142</v>
      </c>
      <c r="G19" s="135" t="s">
        <v>143</v>
      </c>
      <c r="H19" s="134" t="s">
        <v>102</v>
      </c>
      <c r="I19" s="134">
        <v>2.0</v>
      </c>
      <c r="J19" s="136">
        <v>2.0</v>
      </c>
      <c r="K19" s="137"/>
      <c r="L19" s="138">
        <f t="shared" si="2"/>
        <v>500</v>
      </c>
      <c r="M19" s="137"/>
      <c r="N19" s="139">
        <f t="shared" si="3"/>
        <v>0.8333333333</v>
      </c>
      <c r="O19" s="139">
        <f t="shared" si="4"/>
        <v>5</v>
      </c>
      <c r="P19" s="139">
        <f t="shared" si="5"/>
        <v>2.5</v>
      </c>
      <c r="Q19" s="139">
        <f t="shared" si="6"/>
        <v>8.333333333</v>
      </c>
      <c r="R19" s="140"/>
    </row>
    <row r="20" ht="75.0" customHeight="1">
      <c r="B20" s="133">
        <v>14.0</v>
      </c>
      <c r="C20" s="134" t="s">
        <v>125</v>
      </c>
      <c r="D20" s="134" t="s">
        <v>144</v>
      </c>
      <c r="E20" s="135" t="s">
        <v>141</v>
      </c>
      <c r="F20" s="135" t="s">
        <v>145</v>
      </c>
      <c r="G20" s="135" t="s">
        <v>146</v>
      </c>
      <c r="H20" s="134" t="s">
        <v>121</v>
      </c>
      <c r="I20" s="134">
        <v>3.0</v>
      </c>
      <c r="J20" s="136">
        <v>2.0</v>
      </c>
      <c r="K20" s="137"/>
      <c r="L20" s="138">
        <f t="shared" si="2"/>
        <v>500</v>
      </c>
      <c r="M20" s="137"/>
      <c r="N20" s="139">
        <f t="shared" si="3"/>
        <v>0.8333333333</v>
      </c>
      <c r="O20" s="139">
        <f t="shared" si="4"/>
        <v>5</v>
      </c>
      <c r="P20" s="139">
        <f t="shared" si="5"/>
        <v>2.5</v>
      </c>
      <c r="Q20" s="139">
        <f t="shared" si="6"/>
        <v>8.333333333</v>
      </c>
      <c r="R20" s="140"/>
    </row>
    <row r="21" ht="72.0" customHeight="1">
      <c r="B21" s="133">
        <v>15.0</v>
      </c>
      <c r="C21" s="134" t="s">
        <v>125</v>
      </c>
      <c r="D21" s="134" t="s">
        <v>147</v>
      </c>
      <c r="E21" s="135" t="s">
        <v>141</v>
      </c>
      <c r="F21" s="135" t="s">
        <v>148</v>
      </c>
      <c r="G21" s="135" t="s">
        <v>149</v>
      </c>
      <c r="H21" s="134" t="s">
        <v>130</v>
      </c>
      <c r="I21" s="134">
        <v>3.0</v>
      </c>
      <c r="J21" s="136">
        <v>1.0</v>
      </c>
      <c r="K21" s="137"/>
      <c r="L21" s="138">
        <f t="shared" si="2"/>
        <v>250</v>
      </c>
      <c r="M21" s="137"/>
      <c r="N21" s="139">
        <f t="shared" si="3"/>
        <v>0.4166666667</v>
      </c>
      <c r="O21" s="139">
        <f t="shared" si="4"/>
        <v>2.5</v>
      </c>
      <c r="P21" s="139">
        <f t="shared" si="5"/>
        <v>1.25</v>
      </c>
      <c r="Q21" s="139">
        <f t="shared" si="6"/>
        <v>4.166666667</v>
      </c>
      <c r="R21" s="140"/>
    </row>
    <row r="22" ht="75.0" customHeight="1">
      <c r="B22" s="133">
        <v>16.0</v>
      </c>
      <c r="C22" s="134" t="s">
        <v>125</v>
      </c>
      <c r="D22" s="134" t="s">
        <v>150</v>
      </c>
      <c r="E22" s="135" t="s">
        <v>141</v>
      </c>
      <c r="F22" s="135" t="s">
        <v>151</v>
      </c>
      <c r="G22" s="135" t="s">
        <v>152</v>
      </c>
      <c r="H22" s="134" t="s">
        <v>130</v>
      </c>
      <c r="I22" s="134">
        <v>3.0</v>
      </c>
      <c r="J22" s="136">
        <v>1.5</v>
      </c>
      <c r="K22" s="137"/>
      <c r="L22" s="138">
        <f t="shared" si="2"/>
        <v>375</v>
      </c>
      <c r="M22" s="137"/>
      <c r="N22" s="139">
        <f t="shared" si="3"/>
        <v>0.625</v>
      </c>
      <c r="O22" s="139">
        <f t="shared" si="4"/>
        <v>3.75</v>
      </c>
      <c r="P22" s="139">
        <f t="shared" si="5"/>
        <v>1.875</v>
      </c>
      <c r="Q22" s="139">
        <f t="shared" si="6"/>
        <v>6.25</v>
      </c>
      <c r="R22" s="140"/>
    </row>
    <row r="23" ht="67.5" customHeight="1">
      <c r="B23" s="133">
        <v>17.0</v>
      </c>
      <c r="C23" s="134" t="s">
        <v>125</v>
      </c>
      <c r="D23" s="134" t="s">
        <v>153</v>
      </c>
      <c r="E23" s="135" t="s">
        <v>154</v>
      </c>
      <c r="F23" s="135" t="s">
        <v>155</v>
      </c>
      <c r="G23" s="135" t="s">
        <v>156</v>
      </c>
      <c r="H23" s="134" t="s">
        <v>102</v>
      </c>
      <c r="I23" s="134">
        <v>2.0</v>
      </c>
      <c r="J23" s="136">
        <v>2.0</v>
      </c>
      <c r="K23" s="137"/>
      <c r="L23" s="138">
        <f t="shared" si="2"/>
        <v>500</v>
      </c>
      <c r="M23" s="137"/>
      <c r="N23" s="139">
        <f t="shared" si="3"/>
        <v>0.8333333333</v>
      </c>
      <c r="O23" s="139">
        <f t="shared" si="4"/>
        <v>5</v>
      </c>
      <c r="P23" s="139">
        <f t="shared" si="5"/>
        <v>2.5</v>
      </c>
      <c r="Q23" s="139">
        <f t="shared" si="6"/>
        <v>8.333333333</v>
      </c>
      <c r="R23" s="140"/>
    </row>
    <row r="24">
      <c r="B24" s="133">
        <v>18.0</v>
      </c>
      <c r="C24" s="134" t="s">
        <v>125</v>
      </c>
      <c r="D24" s="134" t="s">
        <v>157</v>
      </c>
      <c r="E24" s="135" t="s">
        <v>154</v>
      </c>
      <c r="F24" s="135" t="s">
        <v>158</v>
      </c>
      <c r="G24" s="135" t="s">
        <v>159</v>
      </c>
      <c r="H24" s="134" t="s">
        <v>102</v>
      </c>
      <c r="I24" s="134">
        <v>2.0</v>
      </c>
      <c r="J24" s="136">
        <v>2.0</v>
      </c>
      <c r="K24" s="137"/>
      <c r="L24" s="138">
        <f t="shared" si="2"/>
        <v>500</v>
      </c>
      <c r="M24" s="137"/>
      <c r="N24" s="139">
        <f t="shared" si="3"/>
        <v>0.8333333333</v>
      </c>
      <c r="O24" s="139">
        <f t="shared" si="4"/>
        <v>5</v>
      </c>
      <c r="P24" s="139">
        <f t="shared" si="5"/>
        <v>2.5</v>
      </c>
      <c r="Q24" s="139">
        <f t="shared" si="6"/>
        <v>8.333333333</v>
      </c>
      <c r="R24" s="140"/>
    </row>
    <row r="25" ht="54.75" customHeight="1">
      <c r="B25" s="133">
        <v>19.0</v>
      </c>
      <c r="C25" s="134" t="s">
        <v>125</v>
      </c>
      <c r="D25" s="134" t="s">
        <v>160</v>
      </c>
      <c r="E25" s="135" t="s">
        <v>154</v>
      </c>
      <c r="F25" s="135" t="s">
        <v>161</v>
      </c>
      <c r="G25" s="135" t="s">
        <v>162</v>
      </c>
      <c r="H25" s="134" t="s">
        <v>102</v>
      </c>
      <c r="I25" s="134">
        <v>3.0</v>
      </c>
      <c r="J25" s="136">
        <v>1.0</v>
      </c>
      <c r="K25" s="137"/>
      <c r="L25" s="138">
        <f t="shared" si="2"/>
        <v>250</v>
      </c>
      <c r="M25" s="137"/>
      <c r="N25" s="139">
        <f t="shared" si="3"/>
        <v>0.4166666667</v>
      </c>
      <c r="O25" s="139">
        <f t="shared" si="4"/>
        <v>2.5</v>
      </c>
      <c r="P25" s="139">
        <f t="shared" si="5"/>
        <v>1.25</v>
      </c>
      <c r="Q25" s="139">
        <f t="shared" si="6"/>
        <v>4.166666667</v>
      </c>
      <c r="R25" s="140"/>
    </row>
    <row r="26" ht="82.5" customHeight="1">
      <c r="B26" s="133">
        <v>20.0</v>
      </c>
      <c r="C26" s="134" t="s">
        <v>125</v>
      </c>
      <c r="D26" s="134" t="s">
        <v>163</v>
      </c>
      <c r="E26" s="135" t="s">
        <v>154</v>
      </c>
      <c r="F26" s="135" t="s">
        <v>164</v>
      </c>
      <c r="G26" s="135" t="s">
        <v>165</v>
      </c>
      <c r="H26" s="134" t="s">
        <v>102</v>
      </c>
      <c r="I26" s="134">
        <v>2.0</v>
      </c>
      <c r="J26" s="136">
        <v>2.0</v>
      </c>
      <c r="K26" s="137"/>
      <c r="L26" s="138">
        <f t="shared" si="2"/>
        <v>500</v>
      </c>
      <c r="M26" s="137"/>
      <c r="N26" s="139">
        <f t="shared" si="3"/>
        <v>0.8333333333</v>
      </c>
      <c r="O26" s="139">
        <f t="shared" si="4"/>
        <v>5</v>
      </c>
      <c r="P26" s="139">
        <f t="shared" si="5"/>
        <v>2.5</v>
      </c>
      <c r="Q26" s="139">
        <f t="shared" si="6"/>
        <v>8.333333333</v>
      </c>
      <c r="R26" s="140"/>
    </row>
    <row r="27" ht="69.75" customHeight="1">
      <c r="B27" s="133">
        <v>21.0</v>
      </c>
      <c r="C27" s="134" t="s">
        <v>125</v>
      </c>
      <c r="D27" s="134" t="s">
        <v>166</v>
      </c>
      <c r="E27" s="135" t="s">
        <v>154</v>
      </c>
      <c r="F27" s="135" t="s">
        <v>167</v>
      </c>
      <c r="G27" s="135" t="s">
        <v>168</v>
      </c>
      <c r="H27" s="134" t="s">
        <v>121</v>
      </c>
      <c r="I27" s="134">
        <v>3.0</v>
      </c>
      <c r="J27" s="136">
        <v>1.0</v>
      </c>
      <c r="K27" s="137"/>
      <c r="L27" s="138">
        <f t="shared" si="2"/>
        <v>250</v>
      </c>
      <c r="M27" s="137"/>
      <c r="N27" s="139">
        <f t="shared" si="3"/>
        <v>0.4166666667</v>
      </c>
      <c r="O27" s="139">
        <f t="shared" si="4"/>
        <v>2.5</v>
      </c>
      <c r="P27" s="139">
        <f t="shared" si="5"/>
        <v>1.25</v>
      </c>
      <c r="Q27" s="139">
        <f t="shared" si="6"/>
        <v>4.166666667</v>
      </c>
      <c r="R27" s="140"/>
    </row>
    <row r="28" ht="73.5" customHeight="1">
      <c r="B28" s="133">
        <v>22.0</v>
      </c>
      <c r="C28" s="134" t="s">
        <v>125</v>
      </c>
      <c r="D28" s="134" t="s">
        <v>169</v>
      </c>
      <c r="E28" s="135" t="s">
        <v>154</v>
      </c>
      <c r="F28" s="135" t="s">
        <v>170</v>
      </c>
      <c r="G28" s="135" t="s">
        <v>171</v>
      </c>
      <c r="H28" s="134" t="s">
        <v>130</v>
      </c>
      <c r="I28" s="134">
        <v>3.0</v>
      </c>
      <c r="J28" s="136">
        <v>2.0</v>
      </c>
      <c r="K28" s="137"/>
      <c r="L28" s="138">
        <f t="shared" si="2"/>
        <v>500</v>
      </c>
      <c r="M28" s="137"/>
      <c r="N28" s="139">
        <f t="shared" si="3"/>
        <v>0.8333333333</v>
      </c>
      <c r="O28" s="139">
        <f t="shared" si="4"/>
        <v>5</v>
      </c>
      <c r="P28" s="139">
        <f t="shared" si="5"/>
        <v>2.5</v>
      </c>
      <c r="Q28" s="139">
        <f t="shared" si="6"/>
        <v>8.333333333</v>
      </c>
      <c r="R28" s="140"/>
    </row>
    <row r="29" ht="90.75" customHeight="1">
      <c r="B29" s="133">
        <v>23.0</v>
      </c>
      <c r="C29" s="134" t="s">
        <v>125</v>
      </c>
      <c r="D29" s="134" t="s">
        <v>172</v>
      </c>
      <c r="E29" s="135" t="s">
        <v>154</v>
      </c>
      <c r="F29" s="135" t="s">
        <v>173</v>
      </c>
      <c r="G29" s="135" t="s">
        <v>174</v>
      </c>
      <c r="H29" s="134" t="s">
        <v>102</v>
      </c>
      <c r="I29" s="134">
        <v>2.0</v>
      </c>
      <c r="J29" s="136">
        <v>2.5</v>
      </c>
      <c r="K29" s="137"/>
      <c r="L29" s="138">
        <f t="shared" si="2"/>
        <v>625</v>
      </c>
      <c r="M29" s="137"/>
      <c r="N29" s="139">
        <f t="shared" si="3"/>
        <v>1.041666667</v>
      </c>
      <c r="O29" s="139">
        <f t="shared" si="4"/>
        <v>6.25</v>
      </c>
      <c r="P29" s="139">
        <f t="shared" si="5"/>
        <v>3.125</v>
      </c>
      <c r="Q29" s="139">
        <f t="shared" si="6"/>
        <v>10.41666667</v>
      </c>
      <c r="R29" s="140"/>
    </row>
    <row r="30" ht="90.75" customHeight="1">
      <c r="B30" s="133">
        <v>24.0</v>
      </c>
      <c r="C30" s="134" t="s">
        <v>125</v>
      </c>
      <c r="D30" s="134" t="s">
        <v>175</v>
      </c>
      <c r="E30" s="135" t="s">
        <v>154</v>
      </c>
      <c r="F30" s="135" t="s">
        <v>176</v>
      </c>
      <c r="G30" s="135" t="s">
        <v>177</v>
      </c>
      <c r="H30" s="134" t="s">
        <v>130</v>
      </c>
      <c r="I30" s="134">
        <v>3.0</v>
      </c>
      <c r="J30" s="136">
        <v>1.5</v>
      </c>
      <c r="K30" s="137"/>
      <c r="L30" s="138">
        <f t="shared" si="2"/>
        <v>375</v>
      </c>
      <c r="M30" s="137"/>
      <c r="N30" s="139">
        <f t="shared" si="3"/>
        <v>0.625</v>
      </c>
      <c r="O30" s="139">
        <f t="shared" si="4"/>
        <v>3.75</v>
      </c>
      <c r="P30" s="139">
        <f t="shared" si="5"/>
        <v>1.875</v>
      </c>
      <c r="Q30" s="139">
        <f t="shared" si="6"/>
        <v>6.25</v>
      </c>
      <c r="R30" s="140"/>
    </row>
    <row r="31" ht="51.0" customHeight="1">
      <c r="B31" s="133">
        <v>25.0</v>
      </c>
      <c r="C31" s="134" t="s">
        <v>125</v>
      </c>
      <c r="D31" s="134" t="s">
        <v>178</v>
      </c>
      <c r="E31" s="135" t="s">
        <v>154</v>
      </c>
      <c r="F31" s="135" t="s">
        <v>179</v>
      </c>
      <c r="G31" s="135" t="s">
        <v>180</v>
      </c>
      <c r="H31" s="134" t="s">
        <v>130</v>
      </c>
      <c r="I31" s="134">
        <v>3.0</v>
      </c>
      <c r="J31" s="136">
        <v>1.5</v>
      </c>
      <c r="K31" s="137"/>
      <c r="L31" s="138">
        <f t="shared" si="2"/>
        <v>375</v>
      </c>
      <c r="M31" s="137"/>
      <c r="N31" s="139">
        <f t="shared" si="3"/>
        <v>0.625</v>
      </c>
      <c r="O31" s="139">
        <f t="shared" si="4"/>
        <v>3.75</v>
      </c>
      <c r="P31" s="139">
        <f t="shared" si="5"/>
        <v>1.875</v>
      </c>
      <c r="Q31" s="139">
        <f t="shared" si="6"/>
        <v>6.25</v>
      </c>
      <c r="R31" s="140"/>
    </row>
    <row r="32" ht="57.0" customHeight="1">
      <c r="B32" s="133">
        <v>26.0</v>
      </c>
      <c r="C32" s="134" t="s">
        <v>125</v>
      </c>
      <c r="D32" s="134" t="s">
        <v>181</v>
      </c>
      <c r="E32" s="135" t="s">
        <v>154</v>
      </c>
      <c r="F32" s="135" t="s">
        <v>182</v>
      </c>
      <c r="G32" s="135" t="s">
        <v>183</v>
      </c>
      <c r="H32" s="134" t="s">
        <v>102</v>
      </c>
      <c r="I32" s="134">
        <v>1.0</v>
      </c>
      <c r="J32" s="136">
        <v>3.0</v>
      </c>
      <c r="K32" s="137"/>
      <c r="L32" s="138">
        <f t="shared" si="2"/>
        <v>750</v>
      </c>
      <c r="M32" s="137"/>
      <c r="N32" s="139">
        <f t="shared" si="3"/>
        <v>1.25</v>
      </c>
      <c r="O32" s="139">
        <f t="shared" si="4"/>
        <v>7.5</v>
      </c>
      <c r="P32" s="139">
        <f t="shared" si="5"/>
        <v>3.75</v>
      </c>
      <c r="Q32" s="139">
        <f t="shared" si="6"/>
        <v>12.5</v>
      </c>
      <c r="R32" s="140"/>
    </row>
    <row r="33" ht="51.0" customHeight="1">
      <c r="B33" s="133">
        <v>27.0</v>
      </c>
      <c r="C33" s="134" t="s">
        <v>125</v>
      </c>
      <c r="D33" s="134" t="s">
        <v>184</v>
      </c>
      <c r="E33" s="135" t="s">
        <v>154</v>
      </c>
      <c r="F33" s="135" t="s">
        <v>185</v>
      </c>
      <c r="G33" s="135" t="s">
        <v>186</v>
      </c>
      <c r="H33" s="134" t="s">
        <v>102</v>
      </c>
      <c r="I33" s="134">
        <v>1.0</v>
      </c>
      <c r="J33" s="136">
        <v>2.0</v>
      </c>
      <c r="K33" s="137"/>
      <c r="L33" s="138">
        <f t="shared" si="2"/>
        <v>500</v>
      </c>
      <c r="M33" s="137"/>
      <c r="N33" s="139">
        <f t="shared" si="3"/>
        <v>0.8333333333</v>
      </c>
      <c r="O33" s="139">
        <f t="shared" si="4"/>
        <v>5</v>
      </c>
      <c r="P33" s="139">
        <f t="shared" si="5"/>
        <v>2.5</v>
      </c>
      <c r="Q33" s="139">
        <f t="shared" si="6"/>
        <v>8.333333333</v>
      </c>
      <c r="R33" s="140"/>
    </row>
    <row r="34">
      <c r="B34" s="133">
        <v>28.0</v>
      </c>
      <c r="C34" s="134" t="s">
        <v>125</v>
      </c>
      <c r="D34" s="134" t="s">
        <v>187</v>
      </c>
      <c r="E34" s="135" t="s">
        <v>154</v>
      </c>
      <c r="F34" s="135" t="s">
        <v>188</v>
      </c>
      <c r="G34" s="135" t="s">
        <v>189</v>
      </c>
      <c r="H34" s="134" t="s">
        <v>102</v>
      </c>
      <c r="I34" s="134">
        <v>1.0</v>
      </c>
      <c r="J34" s="136">
        <v>2.0</v>
      </c>
      <c r="K34" s="137"/>
      <c r="L34" s="138">
        <f t="shared" si="2"/>
        <v>500</v>
      </c>
      <c r="M34" s="137"/>
      <c r="N34" s="139">
        <f t="shared" si="3"/>
        <v>0.8333333333</v>
      </c>
      <c r="O34" s="139">
        <f t="shared" si="4"/>
        <v>5</v>
      </c>
      <c r="P34" s="139">
        <f t="shared" si="5"/>
        <v>2.5</v>
      </c>
      <c r="Q34" s="139">
        <f t="shared" si="6"/>
        <v>8.333333333</v>
      </c>
      <c r="R34" s="140"/>
    </row>
    <row r="35">
      <c r="B35" s="143" t="s">
        <v>69</v>
      </c>
      <c r="C35" s="144"/>
      <c r="D35" s="144"/>
      <c r="E35" s="144"/>
      <c r="F35" s="144"/>
      <c r="G35" s="144"/>
      <c r="H35" s="144"/>
      <c r="I35" s="145"/>
      <c r="J35" s="146"/>
      <c r="K35" s="146"/>
      <c r="L35" s="147">
        <f>SUM(L7:L34)</f>
        <v>13875</v>
      </c>
      <c r="M35" s="148"/>
      <c r="N35" s="147">
        <f t="shared" ref="N35:Q35" si="7">SUM(N7:N34)</f>
        <v>23.125</v>
      </c>
      <c r="O35" s="147">
        <f t="shared" si="7"/>
        <v>138.75</v>
      </c>
      <c r="P35" s="147">
        <f t="shared" si="7"/>
        <v>69.375</v>
      </c>
      <c r="Q35" s="147">
        <f t="shared" si="7"/>
        <v>231.25</v>
      </c>
      <c r="R35" s="149">
        <f>Q35/20</f>
        <v>11.5625</v>
      </c>
    </row>
    <row r="36">
      <c r="B36" s="103"/>
      <c r="C36" s="103"/>
      <c r="D36" s="103"/>
      <c r="H36" s="103"/>
      <c r="I36" s="103"/>
    </row>
    <row r="37">
      <c r="B37" s="103"/>
      <c r="C37" s="103"/>
      <c r="D37" s="103"/>
      <c r="H37" s="103"/>
      <c r="I37" s="103"/>
    </row>
    <row r="38">
      <c r="B38" s="103"/>
      <c r="C38" s="103"/>
      <c r="D38" s="103"/>
      <c r="H38" s="103"/>
      <c r="I38" s="103"/>
    </row>
    <row r="39">
      <c r="B39" s="103"/>
      <c r="C39" s="103"/>
      <c r="D39" s="103"/>
      <c r="H39" s="103"/>
      <c r="I39" s="103"/>
    </row>
    <row r="40">
      <c r="B40" s="103"/>
      <c r="C40" s="103"/>
      <c r="D40" s="103"/>
      <c r="H40" s="103"/>
      <c r="I40" s="103"/>
    </row>
    <row r="41">
      <c r="B41" s="103"/>
      <c r="C41" s="103"/>
      <c r="D41" s="103"/>
      <c r="H41" s="103"/>
      <c r="I41" s="103"/>
    </row>
    <row r="42">
      <c r="B42" s="103"/>
      <c r="C42" s="103"/>
      <c r="D42" s="103"/>
      <c r="H42" s="103"/>
      <c r="I42" s="103"/>
    </row>
    <row r="43">
      <c r="B43" s="103"/>
      <c r="C43" s="103"/>
      <c r="D43" s="103"/>
      <c r="H43" s="103"/>
      <c r="I43" s="103"/>
    </row>
    <row r="44">
      <c r="B44" s="103"/>
      <c r="C44" s="103"/>
      <c r="D44" s="103"/>
      <c r="H44" s="103"/>
      <c r="I44" s="103"/>
    </row>
    <row r="45">
      <c r="B45" s="103"/>
      <c r="C45" s="103"/>
      <c r="D45" s="103"/>
      <c r="H45" s="103"/>
      <c r="I45" s="103"/>
    </row>
    <row r="46">
      <c r="B46" s="103"/>
      <c r="C46" s="103"/>
      <c r="D46" s="103"/>
      <c r="H46" s="103"/>
      <c r="I46" s="103"/>
    </row>
    <row r="47">
      <c r="B47" s="103"/>
      <c r="C47" s="103"/>
      <c r="D47" s="103"/>
      <c r="H47" s="103"/>
      <c r="I47" s="103"/>
    </row>
    <row r="48">
      <c r="B48" s="103"/>
      <c r="C48" s="103"/>
      <c r="D48" s="103"/>
      <c r="H48" s="103"/>
      <c r="I48" s="103"/>
    </row>
    <row r="49">
      <c r="B49" s="103"/>
      <c r="C49" s="103"/>
      <c r="D49" s="103"/>
      <c r="H49" s="103"/>
      <c r="I49" s="103"/>
    </row>
    <row r="50">
      <c r="B50" s="103"/>
      <c r="C50" s="103"/>
      <c r="D50" s="103"/>
      <c r="H50" s="103"/>
      <c r="I50" s="103"/>
    </row>
    <row r="51">
      <c r="B51" s="103"/>
      <c r="C51" s="103"/>
      <c r="D51" s="103"/>
      <c r="H51" s="103"/>
      <c r="I51" s="103"/>
    </row>
    <row r="52">
      <c r="B52" s="103"/>
      <c r="C52" s="103"/>
      <c r="D52" s="103"/>
      <c r="H52" s="103"/>
      <c r="I52" s="103"/>
    </row>
    <row r="53">
      <c r="B53" s="103"/>
      <c r="C53" s="103"/>
      <c r="D53" s="103"/>
      <c r="H53" s="103"/>
      <c r="I53" s="103"/>
    </row>
    <row r="54">
      <c r="B54" s="103"/>
      <c r="C54" s="103"/>
      <c r="D54" s="103"/>
      <c r="H54" s="103"/>
      <c r="I54" s="103"/>
    </row>
    <row r="55">
      <c r="B55" s="103"/>
      <c r="C55" s="103"/>
      <c r="D55" s="103"/>
      <c r="H55" s="103"/>
      <c r="I55" s="103"/>
    </row>
    <row r="56">
      <c r="B56" s="103"/>
      <c r="C56" s="103"/>
      <c r="D56" s="103"/>
      <c r="H56" s="103"/>
      <c r="I56" s="103"/>
    </row>
    <row r="57">
      <c r="B57" s="103"/>
      <c r="C57" s="103"/>
      <c r="D57" s="103"/>
      <c r="H57" s="103"/>
      <c r="I57" s="103"/>
    </row>
    <row r="58">
      <c r="B58" s="103"/>
      <c r="C58" s="103"/>
      <c r="D58" s="103"/>
      <c r="H58" s="103"/>
      <c r="I58" s="103"/>
    </row>
    <row r="59">
      <c r="B59" s="103"/>
      <c r="C59" s="103"/>
      <c r="D59" s="103"/>
      <c r="H59" s="103"/>
      <c r="I59" s="103"/>
    </row>
    <row r="60">
      <c r="B60" s="103"/>
      <c r="C60" s="103"/>
      <c r="D60" s="103"/>
      <c r="H60" s="103"/>
      <c r="I60" s="103"/>
    </row>
    <row r="61">
      <c r="B61" s="103"/>
      <c r="C61" s="103"/>
      <c r="D61" s="103"/>
      <c r="H61" s="103"/>
      <c r="I61" s="103"/>
    </row>
    <row r="62">
      <c r="B62" s="103"/>
      <c r="C62" s="103"/>
      <c r="D62" s="103"/>
      <c r="H62" s="103"/>
      <c r="I62" s="103"/>
    </row>
    <row r="63">
      <c r="B63" s="103"/>
      <c r="C63" s="103"/>
      <c r="D63" s="103"/>
      <c r="H63" s="103"/>
      <c r="I63" s="103"/>
    </row>
    <row r="64">
      <c r="B64" s="103"/>
      <c r="C64" s="103"/>
      <c r="D64" s="103"/>
      <c r="H64" s="103"/>
      <c r="I64" s="103"/>
    </row>
    <row r="65">
      <c r="B65" s="103"/>
      <c r="C65" s="103"/>
      <c r="D65" s="103"/>
      <c r="H65" s="103"/>
      <c r="I65" s="103"/>
    </row>
    <row r="66">
      <c r="B66" s="103"/>
      <c r="C66" s="103"/>
      <c r="D66" s="103"/>
      <c r="H66" s="103"/>
      <c r="I66" s="103"/>
    </row>
    <row r="67">
      <c r="B67" s="103"/>
      <c r="C67" s="103"/>
      <c r="D67" s="103"/>
      <c r="H67" s="103"/>
      <c r="I67" s="103"/>
    </row>
    <row r="68">
      <c r="B68" s="103"/>
      <c r="C68" s="103"/>
      <c r="D68" s="103"/>
      <c r="H68" s="103"/>
      <c r="I68" s="103"/>
    </row>
    <row r="69">
      <c r="B69" s="103"/>
      <c r="C69" s="103"/>
      <c r="D69" s="103"/>
      <c r="H69" s="103"/>
      <c r="I69" s="103"/>
    </row>
    <row r="70">
      <c r="B70" s="103"/>
      <c r="C70" s="103"/>
      <c r="D70" s="103"/>
      <c r="H70" s="103"/>
      <c r="I70" s="103"/>
    </row>
    <row r="71">
      <c r="B71" s="103"/>
      <c r="C71" s="103"/>
      <c r="D71" s="103"/>
      <c r="H71" s="103"/>
      <c r="I71" s="103"/>
    </row>
    <row r="72">
      <c r="B72" s="103"/>
      <c r="C72" s="103"/>
      <c r="D72" s="103"/>
      <c r="H72" s="103"/>
      <c r="I72" s="103"/>
    </row>
    <row r="73">
      <c r="B73" s="103"/>
      <c r="C73" s="103"/>
      <c r="D73" s="103"/>
      <c r="H73" s="103"/>
      <c r="I73" s="103"/>
    </row>
    <row r="74">
      <c r="B74" s="103"/>
      <c r="C74" s="103"/>
      <c r="D74" s="103"/>
      <c r="H74" s="103"/>
      <c r="I74" s="103"/>
    </row>
    <row r="75">
      <c r="B75" s="103"/>
      <c r="C75" s="103"/>
      <c r="D75" s="103"/>
      <c r="H75" s="103"/>
      <c r="I75" s="103"/>
    </row>
    <row r="76">
      <c r="B76" s="103"/>
      <c r="C76" s="103"/>
      <c r="D76" s="103"/>
      <c r="H76" s="103"/>
      <c r="I76" s="103"/>
    </row>
    <row r="77">
      <c r="B77" s="103"/>
      <c r="C77" s="103"/>
      <c r="D77" s="103"/>
      <c r="H77" s="103"/>
      <c r="I77" s="103"/>
    </row>
    <row r="78">
      <c r="B78" s="103"/>
      <c r="C78" s="103"/>
      <c r="D78" s="103"/>
      <c r="H78" s="103"/>
      <c r="I78" s="103"/>
    </row>
    <row r="79">
      <c r="B79" s="103"/>
      <c r="C79" s="103"/>
      <c r="D79" s="103"/>
      <c r="H79" s="103"/>
      <c r="I79" s="103"/>
    </row>
    <row r="80">
      <c r="B80" s="103"/>
      <c r="C80" s="103"/>
      <c r="D80" s="103"/>
      <c r="H80" s="103"/>
      <c r="I80" s="103"/>
    </row>
    <row r="81">
      <c r="B81" s="103"/>
      <c r="C81" s="103"/>
      <c r="D81" s="103"/>
      <c r="H81" s="103"/>
      <c r="I81" s="103"/>
    </row>
    <row r="82">
      <c r="B82" s="103"/>
      <c r="C82" s="103"/>
      <c r="D82" s="103"/>
      <c r="H82" s="103"/>
      <c r="I82" s="103"/>
    </row>
    <row r="83">
      <c r="B83" s="103"/>
      <c r="C83" s="103"/>
      <c r="D83" s="103"/>
      <c r="H83" s="103"/>
      <c r="I83" s="103"/>
    </row>
    <row r="84">
      <c r="B84" s="103"/>
      <c r="C84" s="103"/>
      <c r="D84" s="103"/>
      <c r="H84" s="103"/>
      <c r="I84" s="103"/>
    </row>
    <row r="85">
      <c r="B85" s="103"/>
      <c r="C85" s="103"/>
      <c r="D85" s="103"/>
      <c r="H85" s="103"/>
      <c r="I85" s="103"/>
    </row>
    <row r="86">
      <c r="B86" s="103"/>
      <c r="C86" s="103"/>
      <c r="D86" s="103"/>
      <c r="H86" s="103"/>
      <c r="I86" s="103"/>
    </row>
    <row r="87">
      <c r="B87" s="103"/>
      <c r="C87" s="103"/>
      <c r="D87" s="103"/>
      <c r="H87" s="103"/>
      <c r="I87" s="103"/>
    </row>
    <row r="88">
      <c r="B88" s="103"/>
      <c r="C88" s="103"/>
      <c r="D88" s="103"/>
      <c r="H88" s="103"/>
      <c r="I88" s="103"/>
    </row>
    <row r="89">
      <c r="B89" s="103"/>
      <c r="C89" s="103"/>
      <c r="D89" s="103"/>
      <c r="H89" s="103"/>
      <c r="I89" s="103"/>
    </row>
    <row r="90">
      <c r="B90" s="103"/>
      <c r="C90" s="103"/>
      <c r="D90" s="103"/>
      <c r="H90" s="103"/>
      <c r="I90" s="103"/>
    </row>
    <row r="91">
      <c r="B91" s="103"/>
      <c r="C91" s="103"/>
      <c r="D91" s="103"/>
      <c r="H91" s="103"/>
      <c r="I91" s="103"/>
    </row>
    <row r="92">
      <c r="B92" s="103"/>
      <c r="C92" s="103"/>
      <c r="D92" s="103"/>
      <c r="H92" s="103"/>
      <c r="I92" s="103"/>
    </row>
    <row r="93">
      <c r="B93" s="103"/>
      <c r="C93" s="103"/>
      <c r="D93" s="103"/>
      <c r="H93" s="103"/>
      <c r="I93" s="103"/>
    </row>
    <row r="94">
      <c r="B94" s="103"/>
      <c r="C94" s="103"/>
      <c r="D94" s="103"/>
      <c r="H94" s="103"/>
      <c r="I94" s="103"/>
    </row>
    <row r="95">
      <c r="B95" s="103"/>
      <c r="C95" s="103"/>
      <c r="D95" s="103"/>
      <c r="H95" s="103"/>
      <c r="I95" s="103"/>
    </row>
    <row r="96">
      <c r="B96" s="103"/>
      <c r="C96" s="103"/>
      <c r="D96" s="103"/>
      <c r="H96" s="103"/>
      <c r="I96" s="103"/>
    </row>
    <row r="97">
      <c r="B97" s="103"/>
      <c r="C97" s="103"/>
      <c r="D97" s="103"/>
      <c r="H97" s="103"/>
      <c r="I97" s="103"/>
    </row>
    <row r="98">
      <c r="B98" s="103"/>
      <c r="C98" s="103"/>
      <c r="D98" s="103"/>
      <c r="H98" s="103"/>
      <c r="I98" s="103"/>
    </row>
    <row r="99">
      <c r="B99" s="103"/>
      <c r="C99" s="103"/>
      <c r="D99" s="103"/>
      <c r="H99" s="103"/>
      <c r="I99" s="103"/>
    </row>
    <row r="100">
      <c r="B100" s="103"/>
      <c r="C100" s="103"/>
      <c r="D100" s="103"/>
      <c r="H100" s="103"/>
      <c r="I100" s="103"/>
    </row>
    <row r="101">
      <c r="B101" s="103"/>
      <c r="C101" s="103"/>
      <c r="D101" s="103"/>
      <c r="H101" s="103"/>
      <c r="I101" s="103"/>
    </row>
    <row r="102">
      <c r="B102" s="103"/>
      <c r="C102" s="103"/>
      <c r="D102" s="103"/>
      <c r="H102" s="103"/>
      <c r="I102" s="103"/>
    </row>
    <row r="103">
      <c r="B103" s="103"/>
      <c r="C103" s="103"/>
      <c r="D103" s="103"/>
      <c r="H103" s="103"/>
      <c r="I103" s="103"/>
    </row>
    <row r="104">
      <c r="B104" s="103"/>
      <c r="C104" s="103"/>
      <c r="D104" s="103"/>
      <c r="H104" s="103"/>
      <c r="I104" s="103"/>
    </row>
    <row r="105">
      <c r="B105" s="103"/>
      <c r="C105" s="103"/>
      <c r="D105" s="103"/>
      <c r="H105" s="103"/>
      <c r="I105" s="103"/>
    </row>
    <row r="106">
      <c r="B106" s="103"/>
      <c r="C106" s="103"/>
      <c r="D106" s="103"/>
      <c r="H106" s="103"/>
      <c r="I106" s="103"/>
    </row>
    <row r="107">
      <c r="B107" s="103"/>
      <c r="C107" s="103"/>
      <c r="D107" s="103"/>
      <c r="H107" s="103"/>
      <c r="I107" s="103"/>
    </row>
    <row r="108">
      <c r="B108" s="103"/>
      <c r="C108" s="103"/>
      <c r="D108" s="103"/>
      <c r="H108" s="103"/>
      <c r="I108" s="103"/>
    </row>
    <row r="109">
      <c r="B109" s="103"/>
      <c r="C109" s="103"/>
      <c r="D109" s="103"/>
      <c r="H109" s="103"/>
      <c r="I109" s="103"/>
    </row>
    <row r="110">
      <c r="B110" s="103"/>
      <c r="C110" s="103"/>
      <c r="D110" s="103"/>
      <c r="H110" s="103"/>
      <c r="I110" s="103"/>
    </row>
    <row r="111">
      <c r="B111" s="103"/>
      <c r="C111" s="103"/>
      <c r="D111" s="103"/>
      <c r="H111" s="103"/>
      <c r="I111" s="103"/>
    </row>
    <row r="112">
      <c r="B112" s="103"/>
      <c r="C112" s="103"/>
      <c r="D112" s="103"/>
      <c r="H112" s="103"/>
      <c r="I112" s="103"/>
    </row>
    <row r="113">
      <c r="B113" s="103"/>
      <c r="C113" s="103"/>
      <c r="D113" s="103"/>
      <c r="H113" s="103"/>
      <c r="I113" s="103"/>
    </row>
    <row r="114">
      <c r="B114" s="103"/>
      <c r="C114" s="103"/>
      <c r="D114" s="103"/>
      <c r="H114" s="103"/>
      <c r="I114" s="103"/>
    </row>
    <row r="115">
      <c r="B115" s="103"/>
      <c r="C115" s="103"/>
      <c r="D115" s="103"/>
      <c r="H115" s="103"/>
      <c r="I115" s="103"/>
    </row>
    <row r="116">
      <c r="B116" s="103"/>
      <c r="C116" s="103"/>
      <c r="D116" s="103"/>
      <c r="H116" s="103"/>
      <c r="I116" s="103"/>
    </row>
    <row r="117">
      <c r="B117" s="103"/>
      <c r="C117" s="103"/>
      <c r="D117" s="103"/>
      <c r="H117" s="103"/>
      <c r="I117" s="103"/>
    </row>
    <row r="118">
      <c r="B118" s="103"/>
      <c r="C118" s="103"/>
      <c r="D118" s="103"/>
      <c r="H118" s="103"/>
      <c r="I118" s="103"/>
    </row>
    <row r="119">
      <c r="B119" s="103"/>
      <c r="C119" s="103"/>
      <c r="D119" s="103"/>
      <c r="H119" s="103"/>
      <c r="I119" s="103"/>
    </row>
    <row r="120">
      <c r="B120" s="103"/>
      <c r="C120" s="103"/>
      <c r="D120" s="103"/>
      <c r="H120" s="103"/>
      <c r="I120" s="103"/>
    </row>
    <row r="121">
      <c r="B121" s="103"/>
      <c r="C121" s="103"/>
      <c r="D121" s="103"/>
      <c r="H121" s="103"/>
      <c r="I121" s="103"/>
    </row>
    <row r="122">
      <c r="B122" s="103"/>
      <c r="C122" s="103"/>
      <c r="D122" s="103"/>
      <c r="H122" s="103"/>
      <c r="I122" s="103"/>
    </row>
    <row r="123">
      <c r="B123" s="103"/>
      <c r="C123" s="103"/>
      <c r="D123" s="103"/>
      <c r="H123" s="103"/>
      <c r="I123" s="103"/>
    </row>
    <row r="124">
      <c r="B124" s="103"/>
      <c r="C124" s="103"/>
      <c r="D124" s="103"/>
      <c r="H124" s="103"/>
      <c r="I124" s="103"/>
    </row>
    <row r="125">
      <c r="B125" s="103"/>
      <c r="C125" s="103"/>
      <c r="D125" s="103"/>
      <c r="H125" s="103"/>
      <c r="I125" s="103"/>
    </row>
    <row r="126">
      <c r="B126" s="103"/>
      <c r="C126" s="103"/>
      <c r="D126" s="103"/>
      <c r="H126" s="103"/>
      <c r="I126" s="103"/>
    </row>
    <row r="127">
      <c r="B127" s="103"/>
      <c r="C127" s="103"/>
      <c r="D127" s="103"/>
      <c r="H127" s="103"/>
      <c r="I127" s="103"/>
    </row>
    <row r="128">
      <c r="B128" s="103"/>
      <c r="C128" s="103"/>
      <c r="D128" s="103"/>
      <c r="H128" s="103"/>
      <c r="I128" s="103"/>
    </row>
    <row r="129">
      <c r="B129" s="103"/>
      <c r="C129" s="103"/>
      <c r="D129" s="103"/>
      <c r="H129" s="103"/>
      <c r="I129" s="103"/>
    </row>
    <row r="130">
      <c r="B130" s="103"/>
      <c r="C130" s="103"/>
      <c r="D130" s="103"/>
      <c r="H130" s="103"/>
      <c r="I130" s="103"/>
    </row>
    <row r="131">
      <c r="B131" s="103"/>
      <c r="C131" s="103"/>
      <c r="D131" s="103"/>
      <c r="H131" s="103"/>
      <c r="I131" s="103"/>
    </row>
    <row r="132">
      <c r="B132" s="103"/>
      <c r="C132" s="103"/>
      <c r="D132" s="103"/>
      <c r="H132" s="103"/>
      <c r="I132" s="103"/>
    </row>
    <row r="133">
      <c r="B133" s="103"/>
      <c r="C133" s="103"/>
      <c r="D133" s="103"/>
      <c r="H133" s="103"/>
      <c r="I133" s="103"/>
    </row>
    <row r="134">
      <c r="B134" s="103"/>
      <c r="C134" s="103"/>
      <c r="D134" s="103"/>
      <c r="H134" s="103"/>
      <c r="I134" s="103"/>
    </row>
    <row r="135">
      <c r="B135" s="103"/>
      <c r="C135" s="103"/>
      <c r="D135" s="103"/>
      <c r="H135" s="103"/>
      <c r="I135" s="103"/>
    </row>
    <row r="136">
      <c r="B136" s="103"/>
      <c r="C136" s="103"/>
      <c r="D136" s="103"/>
      <c r="H136" s="103"/>
      <c r="I136" s="103"/>
    </row>
    <row r="137">
      <c r="B137" s="103"/>
      <c r="C137" s="103"/>
      <c r="D137" s="103"/>
      <c r="H137" s="103"/>
      <c r="I137" s="103"/>
    </row>
    <row r="138">
      <c r="B138" s="103"/>
      <c r="C138" s="103"/>
      <c r="D138" s="103"/>
      <c r="H138" s="103"/>
      <c r="I138" s="103"/>
    </row>
    <row r="139">
      <c r="B139" s="103"/>
      <c r="C139" s="103"/>
      <c r="D139" s="103"/>
      <c r="H139" s="103"/>
      <c r="I139" s="103"/>
    </row>
    <row r="140">
      <c r="B140" s="103"/>
      <c r="C140" s="103"/>
      <c r="D140" s="103"/>
      <c r="H140" s="103"/>
      <c r="I140" s="103"/>
    </row>
    <row r="141">
      <c r="B141" s="103"/>
      <c r="C141" s="103"/>
      <c r="D141" s="103"/>
      <c r="H141" s="103"/>
      <c r="I141" s="103"/>
    </row>
    <row r="142">
      <c r="B142" s="103"/>
      <c r="C142" s="103"/>
      <c r="D142" s="103"/>
      <c r="H142" s="103"/>
      <c r="I142" s="103"/>
    </row>
    <row r="143">
      <c r="B143" s="103"/>
      <c r="C143" s="103"/>
      <c r="D143" s="103"/>
      <c r="H143" s="103"/>
      <c r="I143" s="103"/>
    </row>
    <row r="144">
      <c r="B144" s="103"/>
      <c r="C144" s="103"/>
      <c r="D144" s="103"/>
      <c r="H144" s="103"/>
      <c r="I144" s="103"/>
    </row>
    <row r="145">
      <c r="B145" s="103"/>
      <c r="C145" s="103"/>
      <c r="D145" s="103"/>
      <c r="H145" s="103"/>
      <c r="I145" s="103"/>
    </row>
    <row r="146">
      <c r="B146" s="103"/>
      <c r="C146" s="103"/>
      <c r="D146" s="103"/>
      <c r="H146" s="103"/>
      <c r="I146" s="103"/>
    </row>
    <row r="147">
      <c r="B147" s="103"/>
      <c r="C147" s="103"/>
      <c r="D147" s="103"/>
      <c r="H147" s="103"/>
      <c r="I147" s="103"/>
    </row>
    <row r="148">
      <c r="B148" s="103"/>
      <c r="C148" s="103"/>
      <c r="D148" s="103"/>
      <c r="H148" s="103"/>
      <c r="I148" s="103"/>
    </row>
    <row r="149">
      <c r="B149" s="103"/>
      <c r="C149" s="103"/>
      <c r="D149" s="103"/>
      <c r="H149" s="103"/>
      <c r="I149" s="103"/>
    </row>
    <row r="150">
      <c r="B150" s="103"/>
      <c r="C150" s="103"/>
      <c r="D150" s="103"/>
      <c r="H150" s="103"/>
      <c r="I150" s="103"/>
    </row>
    <row r="151">
      <c r="B151" s="103"/>
      <c r="C151" s="103"/>
      <c r="D151" s="103"/>
      <c r="H151" s="103"/>
      <c r="I151" s="103"/>
    </row>
    <row r="152">
      <c r="B152" s="103"/>
      <c r="C152" s="103"/>
      <c r="D152" s="103"/>
      <c r="H152" s="103"/>
      <c r="I152" s="103"/>
    </row>
    <row r="153">
      <c r="B153" s="103"/>
      <c r="C153" s="103"/>
      <c r="D153" s="103"/>
      <c r="H153" s="103"/>
      <c r="I153" s="103"/>
    </row>
    <row r="154">
      <c r="B154" s="103"/>
      <c r="C154" s="103"/>
      <c r="D154" s="103"/>
      <c r="H154" s="103"/>
      <c r="I154" s="103"/>
    </row>
    <row r="155">
      <c r="B155" s="103"/>
      <c r="C155" s="103"/>
      <c r="D155" s="103"/>
      <c r="H155" s="103"/>
      <c r="I155" s="103"/>
    </row>
    <row r="156">
      <c r="B156" s="103"/>
      <c r="C156" s="103"/>
      <c r="D156" s="103"/>
      <c r="H156" s="103"/>
      <c r="I156" s="103"/>
    </row>
    <row r="157">
      <c r="B157" s="103"/>
      <c r="C157" s="103"/>
      <c r="D157" s="103"/>
      <c r="H157" s="103"/>
      <c r="I157" s="103"/>
    </row>
    <row r="158">
      <c r="B158" s="103"/>
      <c r="C158" s="103"/>
      <c r="D158" s="103"/>
      <c r="H158" s="103"/>
      <c r="I158" s="103"/>
    </row>
    <row r="159">
      <c r="B159" s="103"/>
      <c r="C159" s="103"/>
      <c r="D159" s="103"/>
      <c r="H159" s="103"/>
      <c r="I159" s="103"/>
    </row>
    <row r="160">
      <c r="B160" s="103"/>
      <c r="C160" s="103"/>
      <c r="D160" s="103"/>
      <c r="H160" s="103"/>
      <c r="I160" s="103"/>
    </row>
    <row r="161">
      <c r="B161" s="103"/>
      <c r="C161" s="103"/>
      <c r="D161" s="103"/>
      <c r="H161" s="103"/>
      <c r="I161" s="103"/>
    </row>
    <row r="162">
      <c r="B162" s="103"/>
      <c r="C162" s="103"/>
      <c r="D162" s="103"/>
      <c r="H162" s="103"/>
      <c r="I162" s="103"/>
    </row>
    <row r="163">
      <c r="B163" s="103"/>
      <c r="C163" s="103"/>
      <c r="D163" s="103"/>
      <c r="H163" s="103"/>
      <c r="I163" s="103"/>
    </row>
    <row r="164">
      <c r="B164" s="103"/>
      <c r="C164" s="103"/>
      <c r="D164" s="103"/>
      <c r="H164" s="103"/>
      <c r="I164" s="103"/>
    </row>
    <row r="165">
      <c r="B165" s="103"/>
      <c r="C165" s="103"/>
      <c r="D165" s="103"/>
      <c r="H165" s="103"/>
      <c r="I165" s="103"/>
    </row>
    <row r="166">
      <c r="B166" s="103"/>
      <c r="C166" s="103"/>
      <c r="D166" s="103"/>
      <c r="H166" s="103"/>
      <c r="I166" s="103"/>
    </row>
    <row r="167">
      <c r="B167" s="103"/>
      <c r="C167" s="103"/>
      <c r="D167" s="103"/>
      <c r="H167" s="103"/>
      <c r="I167" s="103"/>
    </row>
    <row r="168">
      <c r="B168" s="103"/>
      <c r="C168" s="103"/>
      <c r="D168" s="103"/>
      <c r="H168" s="103"/>
      <c r="I168" s="103"/>
    </row>
    <row r="169">
      <c r="B169" s="103"/>
      <c r="C169" s="103"/>
      <c r="D169" s="103"/>
      <c r="H169" s="103"/>
      <c r="I169" s="103"/>
    </row>
    <row r="170">
      <c r="B170" s="103"/>
      <c r="C170" s="103"/>
      <c r="D170" s="103"/>
      <c r="H170" s="103"/>
      <c r="I170" s="103"/>
    </row>
    <row r="171">
      <c r="B171" s="103"/>
      <c r="C171" s="103"/>
      <c r="D171" s="103"/>
      <c r="H171" s="103"/>
      <c r="I171" s="103"/>
    </row>
    <row r="172">
      <c r="B172" s="103"/>
      <c r="C172" s="103"/>
      <c r="D172" s="103"/>
      <c r="H172" s="103"/>
      <c r="I172" s="103"/>
    </row>
    <row r="173">
      <c r="B173" s="103"/>
      <c r="C173" s="103"/>
      <c r="D173" s="103"/>
      <c r="H173" s="103"/>
      <c r="I173" s="103"/>
    </row>
    <row r="174">
      <c r="B174" s="103"/>
      <c r="C174" s="103"/>
      <c r="D174" s="103"/>
      <c r="H174" s="103"/>
      <c r="I174" s="103"/>
    </row>
    <row r="175">
      <c r="B175" s="103"/>
      <c r="C175" s="103"/>
      <c r="D175" s="103"/>
      <c r="H175" s="103"/>
      <c r="I175" s="103"/>
    </row>
    <row r="176">
      <c r="B176" s="103"/>
      <c r="C176" s="103"/>
      <c r="D176" s="103"/>
      <c r="H176" s="103"/>
      <c r="I176" s="103"/>
    </row>
    <row r="177">
      <c r="B177" s="103"/>
      <c r="C177" s="103"/>
      <c r="D177" s="103"/>
      <c r="H177" s="103"/>
      <c r="I177" s="103"/>
    </row>
    <row r="178">
      <c r="B178" s="103"/>
      <c r="C178" s="103"/>
      <c r="D178" s="103"/>
      <c r="H178" s="103"/>
      <c r="I178" s="103"/>
    </row>
    <row r="179">
      <c r="B179" s="103"/>
      <c r="C179" s="103"/>
      <c r="D179" s="103"/>
      <c r="H179" s="103"/>
      <c r="I179" s="103"/>
    </row>
    <row r="180">
      <c r="B180" s="103"/>
      <c r="C180" s="103"/>
      <c r="D180" s="103"/>
      <c r="H180" s="103"/>
      <c r="I180" s="103"/>
    </row>
    <row r="181">
      <c r="B181" s="103"/>
      <c r="C181" s="103"/>
      <c r="D181" s="103"/>
      <c r="H181" s="103"/>
      <c r="I181" s="103"/>
    </row>
    <row r="182">
      <c r="B182" s="103"/>
      <c r="C182" s="103"/>
      <c r="D182" s="103"/>
      <c r="H182" s="103"/>
      <c r="I182" s="103"/>
    </row>
    <row r="183">
      <c r="B183" s="103"/>
      <c r="C183" s="103"/>
      <c r="D183" s="103"/>
      <c r="H183" s="103"/>
      <c r="I183" s="103"/>
    </row>
    <row r="184">
      <c r="B184" s="103"/>
      <c r="C184" s="103"/>
      <c r="D184" s="103"/>
      <c r="H184" s="103"/>
      <c r="I184" s="103"/>
    </row>
    <row r="185">
      <c r="B185" s="103"/>
      <c r="C185" s="103"/>
      <c r="D185" s="103"/>
      <c r="H185" s="103"/>
      <c r="I185" s="103"/>
    </row>
    <row r="186">
      <c r="B186" s="103"/>
      <c r="C186" s="103"/>
      <c r="D186" s="103"/>
      <c r="H186" s="103"/>
      <c r="I186" s="103"/>
    </row>
    <row r="187">
      <c r="B187" s="103"/>
      <c r="C187" s="103"/>
      <c r="D187" s="103"/>
      <c r="H187" s="103"/>
      <c r="I187" s="103"/>
    </row>
    <row r="188">
      <c r="B188" s="103"/>
      <c r="C188" s="103"/>
      <c r="D188" s="103"/>
      <c r="H188" s="103"/>
      <c r="I188" s="103"/>
    </row>
    <row r="189">
      <c r="B189" s="103"/>
      <c r="C189" s="103"/>
      <c r="D189" s="103"/>
      <c r="H189" s="103"/>
      <c r="I189" s="103"/>
    </row>
    <row r="190">
      <c r="B190" s="103"/>
      <c r="C190" s="103"/>
      <c r="D190" s="103"/>
      <c r="H190" s="103"/>
      <c r="I190" s="103"/>
    </row>
    <row r="191">
      <c r="B191" s="103"/>
      <c r="C191" s="103"/>
      <c r="D191" s="103"/>
      <c r="H191" s="103"/>
      <c r="I191" s="103"/>
    </row>
    <row r="192">
      <c r="B192" s="103"/>
      <c r="C192" s="103"/>
      <c r="D192" s="103"/>
      <c r="H192" s="103"/>
      <c r="I192" s="103"/>
    </row>
    <row r="193">
      <c r="B193" s="103"/>
      <c r="C193" s="103"/>
      <c r="D193" s="103"/>
      <c r="H193" s="103"/>
      <c r="I193" s="103"/>
    </row>
    <row r="194">
      <c r="B194" s="103"/>
      <c r="C194" s="103"/>
      <c r="D194" s="103"/>
      <c r="H194" s="103"/>
      <c r="I194" s="103"/>
    </row>
    <row r="195">
      <c r="B195" s="103"/>
      <c r="C195" s="103"/>
      <c r="D195" s="103"/>
      <c r="H195" s="103"/>
      <c r="I195" s="103"/>
    </row>
    <row r="196">
      <c r="B196" s="103"/>
      <c r="C196" s="103"/>
      <c r="D196" s="103"/>
      <c r="H196" s="103"/>
      <c r="I196" s="103"/>
    </row>
    <row r="197">
      <c r="B197" s="103"/>
      <c r="C197" s="103"/>
      <c r="D197" s="103"/>
      <c r="H197" s="103"/>
      <c r="I197" s="103"/>
    </row>
    <row r="198">
      <c r="B198" s="103"/>
      <c r="C198" s="103"/>
      <c r="D198" s="103"/>
      <c r="H198" s="103"/>
      <c r="I198" s="103"/>
    </row>
    <row r="199">
      <c r="B199" s="103"/>
      <c r="C199" s="103"/>
      <c r="D199" s="103"/>
      <c r="H199" s="103"/>
      <c r="I199" s="103"/>
    </row>
    <row r="200">
      <c r="B200" s="103"/>
      <c r="C200" s="103"/>
      <c r="D200" s="103"/>
      <c r="H200" s="103"/>
      <c r="I200" s="103"/>
    </row>
    <row r="201">
      <c r="B201" s="103"/>
      <c r="C201" s="103"/>
      <c r="D201" s="103"/>
      <c r="H201" s="103"/>
      <c r="I201" s="103"/>
    </row>
    <row r="202">
      <c r="B202" s="103"/>
      <c r="C202" s="103"/>
      <c r="D202" s="103"/>
      <c r="H202" s="103"/>
      <c r="I202" s="103"/>
    </row>
    <row r="203">
      <c r="B203" s="103"/>
      <c r="C203" s="103"/>
      <c r="D203" s="103"/>
      <c r="H203" s="103"/>
      <c r="I203" s="103"/>
    </row>
    <row r="204">
      <c r="B204" s="103"/>
      <c r="C204" s="103"/>
      <c r="D204" s="103"/>
      <c r="H204" s="103"/>
      <c r="I204" s="103"/>
    </row>
    <row r="205">
      <c r="B205" s="103"/>
      <c r="C205" s="103"/>
      <c r="D205" s="103"/>
      <c r="H205" s="103"/>
      <c r="I205" s="103"/>
    </row>
    <row r="206">
      <c r="B206" s="103"/>
      <c r="C206" s="103"/>
      <c r="D206" s="103"/>
      <c r="H206" s="103"/>
      <c r="I206" s="103"/>
    </row>
    <row r="207">
      <c r="B207" s="103"/>
      <c r="C207" s="103"/>
      <c r="D207" s="103"/>
      <c r="H207" s="103"/>
      <c r="I207" s="103"/>
    </row>
    <row r="208">
      <c r="B208" s="103"/>
      <c r="C208" s="103"/>
      <c r="D208" s="103"/>
      <c r="H208" s="103"/>
      <c r="I208" s="103"/>
    </row>
    <row r="209">
      <c r="B209" s="103"/>
      <c r="C209" s="103"/>
      <c r="D209" s="103"/>
      <c r="H209" s="103"/>
      <c r="I209" s="103"/>
    </row>
    <row r="210">
      <c r="B210" s="103"/>
      <c r="C210" s="103"/>
      <c r="D210" s="103"/>
      <c r="H210" s="103"/>
      <c r="I210" s="103"/>
    </row>
    <row r="211">
      <c r="B211" s="103"/>
      <c r="C211" s="103"/>
      <c r="D211" s="103"/>
      <c r="H211" s="103"/>
      <c r="I211" s="103"/>
    </row>
    <row r="212">
      <c r="B212" s="103"/>
      <c r="C212" s="103"/>
      <c r="D212" s="103"/>
      <c r="H212" s="103"/>
      <c r="I212" s="103"/>
    </row>
    <row r="213">
      <c r="B213" s="103"/>
      <c r="C213" s="103"/>
      <c r="D213" s="103"/>
      <c r="H213" s="103"/>
      <c r="I213" s="103"/>
    </row>
    <row r="214">
      <c r="B214" s="103"/>
      <c r="C214" s="103"/>
      <c r="D214" s="103"/>
      <c r="H214" s="103"/>
      <c r="I214" s="103"/>
    </row>
    <row r="215">
      <c r="B215" s="103"/>
      <c r="C215" s="103"/>
      <c r="D215" s="103"/>
      <c r="H215" s="103"/>
      <c r="I215" s="103"/>
    </row>
    <row r="216">
      <c r="B216" s="103"/>
      <c r="C216" s="103"/>
      <c r="D216" s="103"/>
      <c r="H216" s="103"/>
      <c r="I216" s="103"/>
    </row>
    <row r="217">
      <c r="B217" s="103"/>
      <c r="C217" s="103"/>
      <c r="D217" s="103"/>
      <c r="H217" s="103"/>
      <c r="I217" s="103"/>
    </row>
    <row r="218">
      <c r="B218" s="103"/>
      <c r="C218" s="103"/>
      <c r="D218" s="103"/>
      <c r="H218" s="103"/>
      <c r="I218" s="103"/>
    </row>
    <row r="219">
      <c r="B219" s="103"/>
      <c r="C219" s="103"/>
      <c r="D219" s="103"/>
      <c r="H219" s="103"/>
      <c r="I219" s="103"/>
    </row>
    <row r="220">
      <c r="B220" s="103"/>
      <c r="C220" s="103"/>
      <c r="D220" s="103"/>
      <c r="H220" s="103"/>
      <c r="I220" s="103"/>
    </row>
    <row r="221">
      <c r="B221" s="103"/>
      <c r="C221" s="103"/>
      <c r="D221" s="103"/>
      <c r="H221" s="103"/>
      <c r="I221" s="103"/>
    </row>
    <row r="222">
      <c r="B222" s="103"/>
      <c r="C222" s="103"/>
      <c r="D222" s="103"/>
      <c r="H222" s="103"/>
      <c r="I222" s="103"/>
    </row>
    <row r="223">
      <c r="B223" s="103"/>
      <c r="C223" s="103"/>
      <c r="D223" s="103"/>
      <c r="H223" s="103"/>
      <c r="I223" s="103"/>
    </row>
    <row r="224">
      <c r="B224" s="103"/>
      <c r="C224" s="103"/>
      <c r="D224" s="103"/>
      <c r="H224" s="103"/>
      <c r="I224" s="103"/>
    </row>
    <row r="225">
      <c r="B225" s="103"/>
      <c r="C225" s="103"/>
      <c r="D225" s="103"/>
      <c r="H225" s="103"/>
      <c r="I225" s="103"/>
    </row>
    <row r="226">
      <c r="B226" s="103"/>
      <c r="C226" s="103"/>
      <c r="D226" s="103"/>
      <c r="H226" s="103"/>
      <c r="I226" s="103"/>
    </row>
    <row r="227">
      <c r="B227" s="103"/>
      <c r="C227" s="103"/>
      <c r="D227" s="103"/>
      <c r="H227" s="103"/>
      <c r="I227" s="103"/>
    </row>
    <row r="228">
      <c r="B228" s="103"/>
      <c r="C228" s="103"/>
      <c r="D228" s="103"/>
      <c r="H228" s="103"/>
      <c r="I228" s="103"/>
    </row>
    <row r="229">
      <c r="B229" s="103"/>
      <c r="C229" s="103"/>
      <c r="D229" s="103"/>
      <c r="H229" s="103"/>
      <c r="I229" s="103"/>
    </row>
    <row r="230">
      <c r="B230" s="103"/>
      <c r="C230" s="103"/>
      <c r="D230" s="103"/>
      <c r="H230" s="103"/>
      <c r="I230" s="103"/>
    </row>
    <row r="231">
      <c r="B231" s="103"/>
      <c r="C231" s="103"/>
      <c r="D231" s="103"/>
      <c r="H231" s="103"/>
      <c r="I231" s="103"/>
    </row>
    <row r="232">
      <c r="B232" s="103"/>
      <c r="C232" s="103"/>
      <c r="D232" s="103"/>
      <c r="H232" s="103"/>
      <c r="I232" s="103"/>
    </row>
    <row r="233">
      <c r="B233" s="103"/>
      <c r="C233" s="103"/>
      <c r="D233" s="103"/>
      <c r="H233" s="103"/>
      <c r="I233" s="103"/>
    </row>
    <row r="234">
      <c r="B234" s="103"/>
      <c r="C234" s="103"/>
      <c r="D234" s="103"/>
      <c r="H234" s="103"/>
      <c r="I234" s="103"/>
    </row>
    <row r="235">
      <c r="B235" s="103"/>
      <c r="C235" s="103"/>
      <c r="D235" s="103"/>
      <c r="H235" s="103"/>
      <c r="I235" s="103"/>
    </row>
    <row r="236">
      <c r="B236" s="103"/>
      <c r="C236" s="103"/>
      <c r="D236" s="103"/>
      <c r="H236" s="103"/>
      <c r="I236" s="103"/>
    </row>
    <row r="237">
      <c r="B237" s="103"/>
      <c r="C237" s="103"/>
      <c r="D237" s="103"/>
      <c r="H237" s="103"/>
      <c r="I237" s="103"/>
    </row>
    <row r="238">
      <c r="B238" s="103"/>
      <c r="C238" s="103"/>
      <c r="D238" s="103"/>
      <c r="H238" s="103"/>
      <c r="I238" s="103"/>
    </row>
    <row r="239">
      <c r="B239" s="103"/>
      <c r="C239" s="103"/>
      <c r="D239" s="103"/>
      <c r="H239" s="103"/>
      <c r="I239" s="103"/>
    </row>
    <row r="240">
      <c r="B240" s="103"/>
      <c r="C240" s="103"/>
      <c r="D240" s="103"/>
      <c r="H240" s="103"/>
      <c r="I240" s="103"/>
    </row>
    <row r="241">
      <c r="B241" s="103"/>
      <c r="C241" s="103"/>
      <c r="D241" s="103"/>
      <c r="H241" s="103"/>
      <c r="I241" s="103"/>
    </row>
    <row r="242">
      <c r="B242" s="103"/>
      <c r="C242" s="103"/>
      <c r="D242" s="103"/>
      <c r="H242" s="103"/>
      <c r="I242" s="103"/>
    </row>
    <row r="243">
      <c r="B243" s="103"/>
      <c r="C243" s="103"/>
      <c r="D243" s="103"/>
      <c r="H243" s="103"/>
      <c r="I243" s="103"/>
    </row>
    <row r="244">
      <c r="B244" s="103"/>
      <c r="C244" s="103"/>
      <c r="D244" s="103"/>
      <c r="H244" s="103"/>
      <c r="I244" s="103"/>
    </row>
    <row r="245">
      <c r="B245" s="103"/>
      <c r="C245" s="103"/>
      <c r="D245" s="103"/>
      <c r="H245" s="103"/>
      <c r="I245" s="103"/>
    </row>
    <row r="246">
      <c r="B246" s="103"/>
      <c r="C246" s="103"/>
      <c r="D246" s="103"/>
      <c r="H246" s="103"/>
      <c r="I246" s="103"/>
    </row>
    <row r="247">
      <c r="B247" s="103"/>
      <c r="C247" s="103"/>
      <c r="D247" s="103"/>
      <c r="H247" s="103"/>
      <c r="I247" s="103"/>
    </row>
    <row r="248">
      <c r="B248" s="103"/>
      <c r="C248" s="103"/>
      <c r="D248" s="103"/>
      <c r="H248" s="103"/>
      <c r="I248" s="103"/>
    </row>
    <row r="249">
      <c r="B249" s="103"/>
      <c r="C249" s="103"/>
      <c r="D249" s="103"/>
      <c r="H249" s="103"/>
      <c r="I249" s="103"/>
    </row>
    <row r="250">
      <c r="B250" s="103"/>
      <c r="C250" s="103"/>
      <c r="D250" s="103"/>
      <c r="H250" s="103"/>
      <c r="I250" s="103"/>
    </row>
    <row r="251">
      <c r="B251" s="103"/>
      <c r="C251" s="103"/>
      <c r="D251" s="103"/>
      <c r="H251" s="103"/>
      <c r="I251" s="103"/>
    </row>
    <row r="252">
      <c r="B252" s="103"/>
      <c r="C252" s="103"/>
      <c r="D252" s="103"/>
      <c r="H252" s="103"/>
      <c r="I252" s="103"/>
    </row>
    <row r="253">
      <c r="B253" s="103"/>
      <c r="C253" s="103"/>
      <c r="D253" s="103"/>
      <c r="H253" s="103"/>
      <c r="I253" s="103"/>
    </row>
    <row r="254">
      <c r="B254" s="103"/>
      <c r="C254" s="103"/>
      <c r="D254" s="103"/>
      <c r="H254" s="103"/>
      <c r="I254" s="103"/>
    </row>
    <row r="255">
      <c r="B255" s="103"/>
      <c r="C255" s="103"/>
      <c r="D255" s="103"/>
      <c r="H255" s="103"/>
      <c r="I255" s="103"/>
    </row>
    <row r="256">
      <c r="B256" s="103"/>
      <c r="C256" s="103"/>
      <c r="D256" s="103"/>
      <c r="H256" s="103"/>
      <c r="I256" s="103"/>
    </row>
    <row r="257">
      <c r="B257" s="103"/>
      <c r="C257" s="103"/>
      <c r="D257" s="103"/>
      <c r="H257" s="103"/>
      <c r="I257" s="103"/>
    </row>
    <row r="258">
      <c r="B258" s="103"/>
      <c r="C258" s="103"/>
      <c r="D258" s="103"/>
      <c r="H258" s="103"/>
      <c r="I258" s="103"/>
    </row>
    <row r="259">
      <c r="B259" s="103"/>
      <c r="C259" s="103"/>
      <c r="D259" s="103"/>
      <c r="H259" s="103"/>
      <c r="I259" s="103"/>
    </row>
    <row r="260">
      <c r="B260" s="103"/>
      <c r="C260" s="103"/>
      <c r="D260" s="103"/>
      <c r="H260" s="103"/>
      <c r="I260" s="103"/>
    </row>
    <row r="261">
      <c r="B261" s="103"/>
      <c r="C261" s="103"/>
      <c r="D261" s="103"/>
      <c r="H261" s="103"/>
      <c r="I261" s="103"/>
    </row>
    <row r="262">
      <c r="B262" s="103"/>
      <c r="C262" s="103"/>
      <c r="D262" s="103"/>
      <c r="H262" s="103"/>
      <c r="I262" s="103"/>
    </row>
    <row r="263">
      <c r="B263" s="103"/>
      <c r="C263" s="103"/>
      <c r="D263" s="103"/>
      <c r="H263" s="103"/>
      <c r="I263" s="103"/>
    </row>
    <row r="264">
      <c r="B264" s="103"/>
      <c r="C264" s="103"/>
      <c r="D264" s="103"/>
      <c r="H264" s="103"/>
      <c r="I264" s="103"/>
    </row>
    <row r="265">
      <c r="B265" s="103"/>
      <c r="C265" s="103"/>
      <c r="D265" s="103"/>
      <c r="H265" s="103"/>
      <c r="I265" s="103"/>
    </row>
    <row r="266">
      <c r="B266" s="103"/>
      <c r="C266" s="103"/>
      <c r="D266" s="103"/>
      <c r="H266" s="103"/>
      <c r="I266" s="103"/>
    </row>
    <row r="267">
      <c r="B267" s="103"/>
      <c r="C267" s="103"/>
      <c r="D267" s="103"/>
      <c r="H267" s="103"/>
      <c r="I267" s="103"/>
    </row>
    <row r="268">
      <c r="B268" s="103"/>
      <c r="C268" s="103"/>
      <c r="D268" s="103"/>
      <c r="H268" s="103"/>
      <c r="I268" s="103"/>
    </row>
    <row r="269">
      <c r="B269" s="103"/>
      <c r="C269" s="103"/>
      <c r="D269" s="103"/>
      <c r="H269" s="103"/>
      <c r="I269" s="103"/>
    </row>
    <row r="270">
      <c r="B270" s="103"/>
      <c r="C270" s="103"/>
      <c r="D270" s="103"/>
      <c r="H270" s="103"/>
      <c r="I270" s="103"/>
    </row>
    <row r="271">
      <c r="B271" s="103"/>
      <c r="C271" s="103"/>
      <c r="D271" s="103"/>
      <c r="H271" s="103"/>
      <c r="I271" s="103"/>
    </row>
    <row r="272">
      <c r="B272" s="103"/>
      <c r="C272" s="103"/>
      <c r="D272" s="103"/>
      <c r="H272" s="103"/>
      <c r="I272" s="103"/>
    </row>
    <row r="273">
      <c r="B273" s="103"/>
      <c r="C273" s="103"/>
      <c r="D273" s="103"/>
      <c r="H273" s="103"/>
      <c r="I273" s="103"/>
    </row>
    <row r="274">
      <c r="B274" s="103"/>
      <c r="C274" s="103"/>
      <c r="D274" s="103"/>
      <c r="H274" s="103"/>
      <c r="I274" s="103"/>
    </row>
    <row r="275">
      <c r="B275" s="103"/>
      <c r="C275" s="103"/>
      <c r="D275" s="103"/>
      <c r="H275" s="103"/>
      <c r="I275" s="103"/>
    </row>
    <row r="276">
      <c r="B276" s="103"/>
      <c r="C276" s="103"/>
      <c r="D276" s="103"/>
      <c r="H276" s="103"/>
      <c r="I276" s="103"/>
    </row>
    <row r="277">
      <c r="B277" s="103"/>
      <c r="C277" s="103"/>
      <c r="D277" s="103"/>
      <c r="H277" s="103"/>
      <c r="I277" s="103"/>
    </row>
    <row r="278">
      <c r="B278" s="103"/>
      <c r="C278" s="103"/>
      <c r="D278" s="103"/>
      <c r="H278" s="103"/>
      <c r="I278" s="103"/>
    </row>
    <row r="279">
      <c r="B279" s="103"/>
      <c r="C279" s="103"/>
      <c r="D279" s="103"/>
      <c r="H279" s="103"/>
      <c r="I279" s="103"/>
    </row>
    <row r="280">
      <c r="B280" s="103"/>
      <c r="C280" s="103"/>
      <c r="D280" s="103"/>
      <c r="H280" s="103"/>
      <c r="I280" s="103"/>
    </row>
    <row r="281">
      <c r="B281" s="103"/>
      <c r="C281" s="103"/>
      <c r="D281" s="103"/>
      <c r="H281" s="103"/>
      <c r="I281" s="103"/>
    </row>
    <row r="282">
      <c r="B282" s="103"/>
      <c r="C282" s="103"/>
      <c r="D282" s="103"/>
      <c r="H282" s="103"/>
      <c r="I282" s="103"/>
    </row>
    <row r="283">
      <c r="B283" s="103"/>
      <c r="C283" s="103"/>
      <c r="D283" s="103"/>
      <c r="H283" s="103"/>
      <c r="I283" s="103"/>
    </row>
    <row r="284">
      <c r="B284" s="103"/>
      <c r="C284" s="103"/>
      <c r="D284" s="103"/>
      <c r="H284" s="103"/>
      <c r="I284" s="103"/>
    </row>
    <row r="285">
      <c r="B285" s="103"/>
      <c r="C285" s="103"/>
      <c r="D285" s="103"/>
      <c r="H285" s="103"/>
      <c r="I285" s="103"/>
    </row>
    <row r="286">
      <c r="B286" s="103"/>
      <c r="C286" s="103"/>
      <c r="D286" s="103"/>
      <c r="H286" s="103"/>
      <c r="I286" s="103"/>
    </row>
    <row r="287">
      <c r="B287" s="103"/>
      <c r="C287" s="103"/>
      <c r="D287" s="103"/>
      <c r="H287" s="103"/>
      <c r="I287" s="103"/>
    </row>
    <row r="288">
      <c r="B288" s="103"/>
      <c r="C288" s="103"/>
      <c r="D288" s="103"/>
      <c r="H288" s="103"/>
      <c r="I288" s="103"/>
    </row>
    <row r="289">
      <c r="B289" s="103"/>
      <c r="C289" s="103"/>
      <c r="D289" s="103"/>
      <c r="H289" s="103"/>
      <c r="I289" s="103"/>
    </row>
    <row r="290">
      <c r="B290" s="103"/>
      <c r="C290" s="103"/>
      <c r="D290" s="103"/>
      <c r="H290" s="103"/>
      <c r="I290" s="103"/>
    </row>
    <row r="291">
      <c r="B291" s="103"/>
      <c r="C291" s="103"/>
      <c r="D291" s="103"/>
      <c r="H291" s="103"/>
      <c r="I291" s="103"/>
    </row>
    <row r="292">
      <c r="B292" s="103"/>
      <c r="C292" s="103"/>
      <c r="D292" s="103"/>
      <c r="H292" s="103"/>
      <c r="I292" s="103"/>
    </row>
    <row r="293">
      <c r="B293" s="103"/>
      <c r="C293" s="103"/>
      <c r="D293" s="103"/>
      <c r="H293" s="103"/>
      <c r="I293" s="103"/>
    </row>
    <row r="294">
      <c r="B294" s="103"/>
      <c r="C294" s="103"/>
      <c r="D294" s="103"/>
      <c r="H294" s="103"/>
      <c r="I294" s="103"/>
    </row>
    <row r="295">
      <c r="B295" s="103"/>
      <c r="C295" s="103"/>
      <c r="D295" s="103"/>
      <c r="H295" s="103"/>
      <c r="I295" s="103"/>
    </row>
    <row r="296">
      <c r="B296" s="103"/>
      <c r="C296" s="103"/>
      <c r="D296" s="103"/>
      <c r="H296" s="103"/>
      <c r="I296" s="103"/>
    </row>
    <row r="297">
      <c r="B297" s="103"/>
      <c r="C297" s="103"/>
      <c r="D297" s="103"/>
      <c r="H297" s="103"/>
      <c r="I297" s="103"/>
    </row>
    <row r="298">
      <c r="B298" s="103"/>
      <c r="C298" s="103"/>
      <c r="D298" s="103"/>
      <c r="H298" s="103"/>
      <c r="I298" s="103"/>
    </row>
    <row r="299">
      <c r="B299" s="103"/>
      <c r="C299" s="103"/>
      <c r="D299" s="103"/>
      <c r="H299" s="103"/>
      <c r="I299" s="103"/>
    </row>
    <row r="300">
      <c r="B300" s="103"/>
      <c r="C300" s="103"/>
      <c r="D300" s="103"/>
      <c r="H300" s="103"/>
      <c r="I300" s="103"/>
    </row>
    <row r="301">
      <c r="B301" s="103"/>
      <c r="C301" s="103"/>
      <c r="D301" s="103"/>
      <c r="H301" s="103"/>
      <c r="I301" s="103"/>
    </row>
    <row r="302">
      <c r="B302" s="103"/>
      <c r="C302" s="103"/>
      <c r="D302" s="103"/>
      <c r="H302" s="103"/>
      <c r="I302" s="103"/>
    </row>
    <row r="303">
      <c r="B303" s="103"/>
      <c r="C303" s="103"/>
      <c r="D303" s="103"/>
      <c r="H303" s="103"/>
      <c r="I303" s="103"/>
    </row>
    <row r="304">
      <c r="B304" s="103"/>
      <c r="C304" s="103"/>
      <c r="D304" s="103"/>
      <c r="H304" s="103"/>
      <c r="I304" s="103"/>
    </row>
    <row r="305">
      <c r="B305" s="103"/>
      <c r="C305" s="103"/>
      <c r="D305" s="103"/>
      <c r="H305" s="103"/>
      <c r="I305" s="103"/>
    </row>
    <row r="306">
      <c r="B306" s="103"/>
      <c r="C306" s="103"/>
      <c r="D306" s="103"/>
      <c r="H306" s="103"/>
      <c r="I306" s="103"/>
    </row>
    <row r="307">
      <c r="B307" s="103"/>
      <c r="C307" s="103"/>
      <c r="D307" s="103"/>
      <c r="H307" s="103"/>
      <c r="I307" s="103"/>
    </row>
    <row r="308">
      <c r="B308" s="103"/>
      <c r="C308" s="103"/>
      <c r="D308" s="103"/>
      <c r="H308" s="103"/>
      <c r="I308" s="103"/>
    </row>
    <row r="309">
      <c r="B309" s="103"/>
      <c r="C309" s="103"/>
      <c r="D309" s="103"/>
      <c r="H309" s="103"/>
      <c r="I309" s="103"/>
    </row>
    <row r="310">
      <c r="B310" s="103"/>
      <c r="C310" s="103"/>
      <c r="D310" s="103"/>
      <c r="H310" s="103"/>
      <c r="I310" s="103"/>
    </row>
    <row r="311">
      <c r="B311" s="103"/>
      <c r="C311" s="103"/>
      <c r="D311" s="103"/>
      <c r="H311" s="103"/>
      <c r="I311" s="103"/>
    </row>
    <row r="312">
      <c r="B312" s="103"/>
      <c r="C312" s="103"/>
      <c r="D312" s="103"/>
      <c r="H312" s="103"/>
      <c r="I312" s="103"/>
    </row>
    <row r="313">
      <c r="B313" s="103"/>
      <c r="C313" s="103"/>
      <c r="D313" s="103"/>
      <c r="H313" s="103"/>
      <c r="I313" s="103"/>
    </row>
    <row r="314">
      <c r="B314" s="103"/>
      <c r="C314" s="103"/>
      <c r="D314" s="103"/>
      <c r="H314" s="103"/>
      <c r="I314" s="103"/>
    </row>
    <row r="315">
      <c r="B315" s="103"/>
      <c r="C315" s="103"/>
      <c r="D315" s="103"/>
      <c r="H315" s="103"/>
      <c r="I315" s="103"/>
    </row>
    <row r="316">
      <c r="B316" s="103"/>
      <c r="C316" s="103"/>
      <c r="D316" s="103"/>
      <c r="H316" s="103"/>
      <c r="I316" s="103"/>
    </row>
    <row r="317">
      <c r="B317" s="103"/>
      <c r="C317" s="103"/>
      <c r="D317" s="103"/>
      <c r="H317" s="103"/>
      <c r="I317" s="103"/>
    </row>
    <row r="318">
      <c r="B318" s="103"/>
      <c r="C318" s="103"/>
      <c r="D318" s="103"/>
      <c r="H318" s="103"/>
      <c r="I318" s="103"/>
    </row>
    <row r="319">
      <c r="B319" s="103"/>
      <c r="C319" s="103"/>
      <c r="D319" s="103"/>
      <c r="H319" s="103"/>
      <c r="I319" s="103"/>
    </row>
    <row r="320">
      <c r="B320" s="103"/>
      <c r="C320" s="103"/>
      <c r="D320" s="103"/>
      <c r="H320" s="103"/>
      <c r="I320" s="103"/>
    </row>
    <row r="321">
      <c r="B321" s="103"/>
      <c r="C321" s="103"/>
      <c r="D321" s="103"/>
      <c r="H321" s="103"/>
      <c r="I321" s="103"/>
    </row>
    <row r="322">
      <c r="B322" s="103"/>
      <c r="C322" s="103"/>
      <c r="D322" s="103"/>
      <c r="H322" s="103"/>
      <c r="I322" s="103"/>
    </row>
    <row r="323">
      <c r="B323" s="103"/>
      <c r="C323" s="103"/>
      <c r="D323" s="103"/>
      <c r="H323" s="103"/>
      <c r="I323" s="103"/>
    </row>
    <row r="324">
      <c r="B324" s="103"/>
      <c r="C324" s="103"/>
      <c r="D324" s="103"/>
      <c r="H324" s="103"/>
      <c r="I324" s="103"/>
    </row>
    <row r="325">
      <c r="B325" s="103"/>
      <c r="C325" s="103"/>
      <c r="D325" s="103"/>
      <c r="H325" s="103"/>
      <c r="I325" s="103"/>
    </row>
    <row r="326">
      <c r="B326" s="103"/>
      <c r="C326" s="103"/>
      <c r="D326" s="103"/>
      <c r="H326" s="103"/>
      <c r="I326" s="103"/>
    </row>
    <row r="327">
      <c r="B327" s="103"/>
      <c r="C327" s="103"/>
      <c r="D327" s="103"/>
      <c r="H327" s="103"/>
      <c r="I327" s="103"/>
    </row>
    <row r="328">
      <c r="B328" s="103"/>
      <c r="C328" s="103"/>
      <c r="D328" s="103"/>
      <c r="H328" s="103"/>
      <c r="I328" s="103"/>
    </row>
    <row r="329">
      <c r="B329" s="103"/>
      <c r="C329" s="103"/>
      <c r="D329" s="103"/>
      <c r="H329" s="103"/>
      <c r="I329" s="103"/>
    </row>
    <row r="330">
      <c r="B330" s="103"/>
      <c r="C330" s="103"/>
      <c r="D330" s="103"/>
      <c r="H330" s="103"/>
      <c r="I330" s="103"/>
    </row>
    <row r="331">
      <c r="B331" s="103"/>
      <c r="C331" s="103"/>
      <c r="D331" s="103"/>
      <c r="H331" s="103"/>
      <c r="I331" s="103"/>
    </row>
    <row r="332">
      <c r="B332" s="103"/>
      <c r="C332" s="103"/>
      <c r="D332" s="103"/>
      <c r="H332" s="103"/>
      <c r="I332" s="103"/>
    </row>
    <row r="333">
      <c r="B333" s="103"/>
      <c r="C333" s="103"/>
      <c r="D333" s="103"/>
      <c r="H333" s="103"/>
      <c r="I333" s="103"/>
    </row>
    <row r="334">
      <c r="B334" s="103"/>
      <c r="C334" s="103"/>
      <c r="D334" s="103"/>
      <c r="H334" s="103"/>
      <c r="I334" s="103"/>
    </row>
    <row r="335">
      <c r="B335" s="103"/>
      <c r="C335" s="103"/>
      <c r="D335" s="103"/>
      <c r="H335" s="103"/>
      <c r="I335" s="103"/>
    </row>
    <row r="336">
      <c r="B336" s="103"/>
      <c r="C336" s="103"/>
      <c r="D336" s="103"/>
      <c r="H336" s="103"/>
      <c r="I336" s="103"/>
    </row>
    <row r="337">
      <c r="B337" s="103"/>
      <c r="C337" s="103"/>
      <c r="D337" s="103"/>
      <c r="H337" s="103"/>
      <c r="I337" s="103"/>
    </row>
    <row r="338">
      <c r="B338" s="103"/>
      <c r="C338" s="103"/>
      <c r="D338" s="103"/>
      <c r="H338" s="103"/>
      <c r="I338" s="103"/>
    </row>
    <row r="339">
      <c r="B339" s="103"/>
      <c r="C339" s="103"/>
      <c r="D339" s="103"/>
      <c r="H339" s="103"/>
      <c r="I339" s="103"/>
    </row>
    <row r="340">
      <c r="B340" s="103"/>
      <c r="C340" s="103"/>
      <c r="D340" s="103"/>
      <c r="H340" s="103"/>
      <c r="I340" s="103"/>
    </row>
    <row r="341">
      <c r="B341" s="103"/>
      <c r="C341" s="103"/>
      <c r="D341" s="103"/>
      <c r="H341" s="103"/>
      <c r="I341" s="103"/>
    </row>
    <row r="342">
      <c r="B342" s="103"/>
      <c r="C342" s="103"/>
      <c r="D342" s="103"/>
      <c r="H342" s="103"/>
      <c r="I342" s="103"/>
    </row>
    <row r="343">
      <c r="B343" s="103"/>
      <c r="C343" s="103"/>
      <c r="D343" s="103"/>
      <c r="H343" s="103"/>
      <c r="I343" s="103"/>
    </row>
    <row r="344">
      <c r="B344" s="103"/>
      <c r="C344" s="103"/>
      <c r="D344" s="103"/>
      <c r="H344" s="103"/>
      <c r="I344" s="103"/>
    </row>
    <row r="345">
      <c r="B345" s="103"/>
      <c r="C345" s="103"/>
      <c r="D345" s="103"/>
      <c r="H345" s="103"/>
      <c r="I345" s="103"/>
    </row>
    <row r="346">
      <c r="B346" s="103"/>
      <c r="C346" s="103"/>
      <c r="D346" s="103"/>
      <c r="H346" s="103"/>
      <c r="I346" s="103"/>
    </row>
    <row r="347">
      <c r="B347" s="103"/>
      <c r="C347" s="103"/>
      <c r="D347" s="103"/>
      <c r="H347" s="103"/>
      <c r="I347" s="103"/>
    </row>
    <row r="348">
      <c r="B348" s="103"/>
      <c r="C348" s="103"/>
      <c r="D348" s="103"/>
      <c r="H348" s="103"/>
      <c r="I348" s="103"/>
    </row>
    <row r="349">
      <c r="B349" s="103"/>
      <c r="C349" s="103"/>
      <c r="D349" s="103"/>
      <c r="H349" s="103"/>
      <c r="I349" s="103"/>
    </row>
    <row r="350">
      <c r="B350" s="103"/>
      <c r="C350" s="103"/>
      <c r="D350" s="103"/>
      <c r="H350" s="103"/>
      <c r="I350" s="103"/>
    </row>
    <row r="351">
      <c r="B351" s="103"/>
      <c r="C351" s="103"/>
      <c r="D351" s="103"/>
      <c r="H351" s="103"/>
      <c r="I351" s="103"/>
    </row>
    <row r="352">
      <c r="B352" s="103"/>
      <c r="C352" s="103"/>
      <c r="D352" s="103"/>
      <c r="H352" s="103"/>
      <c r="I352" s="103"/>
    </row>
    <row r="353">
      <c r="B353" s="103"/>
      <c r="C353" s="103"/>
      <c r="D353" s="103"/>
      <c r="H353" s="103"/>
      <c r="I353" s="103"/>
    </row>
    <row r="354">
      <c r="B354" s="103"/>
      <c r="C354" s="103"/>
      <c r="D354" s="103"/>
      <c r="H354" s="103"/>
      <c r="I354" s="103"/>
    </row>
    <row r="355">
      <c r="B355" s="103"/>
      <c r="C355" s="103"/>
      <c r="D355" s="103"/>
      <c r="H355" s="103"/>
      <c r="I355" s="103"/>
    </row>
    <row r="356">
      <c r="B356" s="103"/>
      <c r="C356" s="103"/>
      <c r="D356" s="103"/>
      <c r="H356" s="103"/>
      <c r="I356" s="103"/>
    </row>
    <row r="357">
      <c r="B357" s="103"/>
      <c r="C357" s="103"/>
      <c r="D357" s="103"/>
      <c r="H357" s="103"/>
      <c r="I357" s="103"/>
    </row>
    <row r="358">
      <c r="B358" s="103"/>
      <c r="C358" s="103"/>
      <c r="D358" s="103"/>
      <c r="H358" s="103"/>
      <c r="I358" s="103"/>
    </row>
    <row r="359">
      <c r="B359" s="103"/>
      <c r="C359" s="103"/>
      <c r="D359" s="103"/>
      <c r="H359" s="103"/>
      <c r="I359" s="103"/>
    </row>
    <row r="360">
      <c r="B360" s="103"/>
      <c r="C360" s="103"/>
      <c r="D360" s="103"/>
      <c r="H360" s="103"/>
      <c r="I360" s="103"/>
    </row>
    <row r="361">
      <c r="B361" s="103"/>
      <c r="C361" s="103"/>
      <c r="D361" s="103"/>
      <c r="H361" s="103"/>
      <c r="I361" s="103"/>
    </row>
    <row r="362">
      <c r="B362" s="103"/>
      <c r="C362" s="103"/>
      <c r="D362" s="103"/>
      <c r="H362" s="103"/>
      <c r="I362" s="103"/>
    </row>
    <row r="363">
      <c r="B363" s="103"/>
      <c r="C363" s="103"/>
      <c r="D363" s="103"/>
      <c r="H363" s="103"/>
      <c r="I363" s="103"/>
    </row>
    <row r="364">
      <c r="B364" s="103"/>
      <c r="C364" s="103"/>
      <c r="D364" s="103"/>
      <c r="H364" s="103"/>
      <c r="I364" s="103"/>
    </row>
    <row r="365">
      <c r="B365" s="103"/>
      <c r="C365" s="103"/>
      <c r="D365" s="103"/>
      <c r="H365" s="103"/>
      <c r="I365" s="103"/>
    </row>
    <row r="366">
      <c r="B366" s="103"/>
      <c r="C366" s="103"/>
      <c r="D366" s="103"/>
      <c r="H366" s="103"/>
      <c r="I366" s="103"/>
    </row>
    <row r="367">
      <c r="B367" s="103"/>
      <c r="C367" s="103"/>
      <c r="D367" s="103"/>
      <c r="H367" s="103"/>
      <c r="I367" s="103"/>
    </row>
    <row r="368">
      <c r="B368" s="103"/>
      <c r="C368" s="103"/>
      <c r="D368" s="103"/>
      <c r="H368" s="103"/>
      <c r="I368" s="103"/>
    </row>
    <row r="369">
      <c r="B369" s="103"/>
      <c r="C369" s="103"/>
      <c r="D369" s="103"/>
      <c r="H369" s="103"/>
      <c r="I369" s="103"/>
    </row>
    <row r="370">
      <c r="B370" s="103"/>
      <c r="C370" s="103"/>
      <c r="D370" s="103"/>
      <c r="H370" s="103"/>
      <c r="I370" s="103"/>
    </row>
    <row r="371">
      <c r="B371" s="103"/>
      <c r="C371" s="103"/>
      <c r="D371" s="103"/>
      <c r="H371" s="103"/>
      <c r="I371" s="103"/>
    </row>
    <row r="372">
      <c r="B372" s="103"/>
      <c r="C372" s="103"/>
      <c r="D372" s="103"/>
      <c r="H372" s="103"/>
      <c r="I372" s="103"/>
    </row>
    <row r="373">
      <c r="B373" s="103"/>
      <c r="C373" s="103"/>
      <c r="D373" s="103"/>
      <c r="H373" s="103"/>
      <c r="I373" s="103"/>
    </row>
    <row r="374">
      <c r="B374" s="103"/>
      <c r="C374" s="103"/>
      <c r="D374" s="103"/>
      <c r="H374" s="103"/>
      <c r="I374" s="103"/>
    </row>
    <row r="375">
      <c r="B375" s="103"/>
      <c r="C375" s="103"/>
      <c r="D375" s="103"/>
      <c r="H375" s="103"/>
      <c r="I375" s="103"/>
    </row>
    <row r="376">
      <c r="B376" s="103"/>
      <c r="C376" s="103"/>
      <c r="D376" s="103"/>
      <c r="H376" s="103"/>
      <c r="I376" s="103"/>
    </row>
    <row r="377">
      <c r="B377" s="103"/>
      <c r="C377" s="103"/>
      <c r="D377" s="103"/>
      <c r="H377" s="103"/>
      <c r="I377" s="103"/>
    </row>
    <row r="378">
      <c r="B378" s="103"/>
      <c r="C378" s="103"/>
      <c r="D378" s="103"/>
      <c r="H378" s="103"/>
      <c r="I378" s="103"/>
    </row>
    <row r="379">
      <c r="B379" s="103"/>
      <c r="C379" s="103"/>
      <c r="D379" s="103"/>
      <c r="H379" s="103"/>
      <c r="I379" s="103"/>
    </row>
    <row r="380">
      <c r="B380" s="103"/>
      <c r="C380" s="103"/>
      <c r="D380" s="103"/>
      <c r="H380" s="103"/>
      <c r="I380" s="103"/>
    </row>
    <row r="381">
      <c r="B381" s="103"/>
      <c r="C381" s="103"/>
      <c r="D381" s="103"/>
      <c r="H381" s="103"/>
      <c r="I381" s="103"/>
    </row>
    <row r="382">
      <c r="B382" s="103"/>
      <c r="C382" s="103"/>
      <c r="D382" s="103"/>
      <c r="H382" s="103"/>
      <c r="I382" s="103"/>
    </row>
    <row r="383">
      <c r="B383" s="103"/>
      <c r="C383" s="103"/>
      <c r="D383" s="103"/>
      <c r="H383" s="103"/>
      <c r="I383" s="103"/>
    </row>
    <row r="384">
      <c r="B384" s="103"/>
      <c r="C384" s="103"/>
      <c r="D384" s="103"/>
      <c r="H384" s="103"/>
      <c r="I384" s="103"/>
    </row>
    <row r="385">
      <c r="B385" s="103"/>
      <c r="C385" s="103"/>
      <c r="D385" s="103"/>
      <c r="H385" s="103"/>
      <c r="I385" s="103"/>
    </row>
    <row r="386">
      <c r="B386" s="103"/>
      <c r="C386" s="103"/>
      <c r="D386" s="103"/>
      <c r="H386" s="103"/>
      <c r="I386" s="103"/>
    </row>
    <row r="387">
      <c r="B387" s="103"/>
      <c r="C387" s="103"/>
      <c r="D387" s="103"/>
      <c r="H387" s="103"/>
      <c r="I387" s="103"/>
    </row>
    <row r="388">
      <c r="B388" s="103"/>
      <c r="C388" s="103"/>
      <c r="D388" s="103"/>
      <c r="H388" s="103"/>
      <c r="I388" s="103"/>
    </row>
    <row r="389">
      <c r="B389" s="103"/>
      <c r="C389" s="103"/>
      <c r="D389" s="103"/>
      <c r="H389" s="103"/>
      <c r="I389" s="103"/>
    </row>
    <row r="390">
      <c r="B390" s="103"/>
      <c r="C390" s="103"/>
      <c r="D390" s="103"/>
      <c r="H390" s="103"/>
      <c r="I390" s="103"/>
    </row>
    <row r="391">
      <c r="B391" s="103"/>
      <c r="C391" s="103"/>
      <c r="D391" s="103"/>
      <c r="H391" s="103"/>
      <c r="I391" s="103"/>
    </row>
    <row r="392">
      <c r="B392" s="103"/>
      <c r="C392" s="103"/>
      <c r="D392" s="103"/>
      <c r="H392" s="103"/>
      <c r="I392" s="103"/>
    </row>
    <row r="393">
      <c r="B393" s="103"/>
      <c r="C393" s="103"/>
      <c r="D393" s="103"/>
      <c r="H393" s="103"/>
      <c r="I393" s="103"/>
    </row>
    <row r="394">
      <c r="B394" s="103"/>
      <c r="C394" s="103"/>
      <c r="D394" s="103"/>
      <c r="H394" s="103"/>
      <c r="I394" s="103"/>
    </row>
    <row r="395">
      <c r="B395" s="103"/>
      <c r="C395" s="103"/>
      <c r="D395" s="103"/>
      <c r="H395" s="103"/>
      <c r="I395" s="103"/>
    </row>
    <row r="396">
      <c r="B396" s="103"/>
      <c r="C396" s="103"/>
      <c r="D396" s="103"/>
      <c r="H396" s="103"/>
      <c r="I396" s="103"/>
    </row>
    <row r="397">
      <c r="B397" s="103"/>
      <c r="C397" s="103"/>
      <c r="D397" s="103"/>
      <c r="H397" s="103"/>
      <c r="I397" s="103"/>
    </row>
    <row r="398">
      <c r="B398" s="103"/>
      <c r="C398" s="103"/>
      <c r="D398" s="103"/>
      <c r="H398" s="103"/>
      <c r="I398" s="103"/>
    </row>
    <row r="399">
      <c r="B399" s="103"/>
      <c r="C399" s="103"/>
      <c r="D399" s="103"/>
      <c r="H399" s="103"/>
      <c r="I399" s="103"/>
    </row>
    <row r="400">
      <c r="B400" s="103"/>
      <c r="C400" s="103"/>
      <c r="D400" s="103"/>
      <c r="H400" s="103"/>
      <c r="I400" s="103"/>
    </row>
    <row r="401">
      <c r="B401" s="103"/>
      <c r="C401" s="103"/>
      <c r="D401" s="103"/>
      <c r="H401" s="103"/>
      <c r="I401" s="103"/>
    </row>
    <row r="402">
      <c r="B402" s="103"/>
      <c r="C402" s="103"/>
      <c r="D402" s="103"/>
      <c r="H402" s="103"/>
      <c r="I402" s="103"/>
    </row>
    <row r="403">
      <c r="B403" s="103"/>
      <c r="C403" s="103"/>
      <c r="D403" s="103"/>
      <c r="H403" s="103"/>
      <c r="I403" s="103"/>
    </row>
    <row r="404">
      <c r="B404" s="103"/>
      <c r="C404" s="103"/>
      <c r="D404" s="103"/>
      <c r="H404" s="103"/>
      <c r="I404" s="103"/>
    </row>
    <row r="405">
      <c r="B405" s="103"/>
      <c r="C405" s="103"/>
      <c r="D405" s="103"/>
      <c r="H405" s="103"/>
      <c r="I405" s="103"/>
    </row>
    <row r="406">
      <c r="B406" s="103"/>
      <c r="C406" s="103"/>
      <c r="D406" s="103"/>
      <c r="H406" s="103"/>
      <c r="I406" s="103"/>
    </row>
    <row r="407">
      <c r="B407" s="103"/>
      <c r="C407" s="103"/>
      <c r="D407" s="103"/>
      <c r="H407" s="103"/>
      <c r="I407" s="103"/>
    </row>
    <row r="408">
      <c r="B408" s="103"/>
      <c r="C408" s="103"/>
      <c r="D408" s="103"/>
      <c r="H408" s="103"/>
      <c r="I408" s="103"/>
    </row>
    <row r="409">
      <c r="B409" s="103"/>
      <c r="C409" s="103"/>
      <c r="D409" s="103"/>
      <c r="H409" s="103"/>
      <c r="I409" s="103"/>
    </row>
    <row r="410">
      <c r="B410" s="103"/>
      <c r="C410" s="103"/>
      <c r="D410" s="103"/>
      <c r="H410" s="103"/>
      <c r="I410" s="103"/>
    </row>
    <row r="411">
      <c r="B411" s="103"/>
      <c r="C411" s="103"/>
      <c r="D411" s="103"/>
      <c r="H411" s="103"/>
      <c r="I411" s="103"/>
    </row>
    <row r="412">
      <c r="B412" s="103"/>
      <c r="C412" s="103"/>
      <c r="D412" s="103"/>
      <c r="H412" s="103"/>
      <c r="I412" s="103"/>
    </row>
    <row r="413">
      <c r="B413" s="103"/>
      <c r="C413" s="103"/>
      <c r="D413" s="103"/>
      <c r="H413" s="103"/>
      <c r="I413" s="103"/>
    </row>
    <row r="414">
      <c r="B414" s="103"/>
      <c r="C414" s="103"/>
      <c r="D414" s="103"/>
      <c r="H414" s="103"/>
      <c r="I414" s="103"/>
    </row>
    <row r="415">
      <c r="B415" s="103"/>
      <c r="C415" s="103"/>
      <c r="D415" s="103"/>
      <c r="H415" s="103"/>
      <c r="I415" s="103"/>
    </row>
    <row r="416">
      <c r="B416" s="103"/>
      <c r="C416" s="103"/>
      <c r="D416" s="103"/>
      <c r="H416" s="103"/>
      <c r="I416" s="103"/>
    </row>
    <row r="417">
      <c r="B417" s="103"/>
      <c r="C417" s="103"/>
      <c r="D417" s="103"/>
      <c r="H417" s="103"/>
      <c r="I417" s="103"/>
    </row>
    <row r="418">
      <c r="B418" s="103"/>
      <c r="C418" s="103"/>
      <c r="D418" s="103"/>
      <c r="H418" s="103"/>
      <c r="I418" s="103"/>
    </row>
    <row r="419">
      <c r="B419" s="103"/>
      <c r="C419" s="103"/>
      <c r="D419" s="103"/>
      <c r="H419" s="103"/>
      <c r="I419" s="103"/>
    </row>
    <row r="420">
      <c r="B420" s="103"/>
      <c r="C420" s="103"/>
      <c r="D420" s="103"/>
      <c r="H420" s="103"/>
      <c r="I420" s="103"/>
    </row>
    <row r="421">
      <c r="B421" s="103"/>
      <c r="C421" s="103"/>
      <c r="D421" s="103"/>
      <c r="H421" s="103"/>
      <c r="I421" s="103"/>
    </row>
    <row r="422">
      <c r="B422" s="103"/>
      <c r="C422" s="103"/>
      <c r="D422" s="103"/>
      <c r="H422" s="103"/>
      <c r="I422" s="103"/>
    </row>
    <row r="423">
      <c r="B423" s="103"/>
      <c r="C423" s="103"/>
      <c r="D423" s="103"/>
      <c r="H423" s="103"/>
      <c r="I423" s="103"/>
    </row>
    <row r="424">
      <c r="B424" s="103"/>
      <c r="C424" s="103"/>
      <c r="D424" s="103"/>
      <c r="H424" s="103"/>
      <c r="I424" s="103"/>
    </row>
    <row r="425">
      <c r="B425" s="103"/>
      <c r="C425" s="103"/>
      <c r="D425" s="103"/>
      <c r="H425" s="103"/>
      <c r="I425" s="103"/>
    </row>
    <row r="426">
      <c r="B426" s="103"/>
      <c r="C426" s="103"/>
      <c r="D426" s="103"/>
      <c r="H426" s="103"/>
      <c r="I426" s="103"/>
    </row>
    <row r="427">
      <c r="B427" s="103"/>
      <c r="C427" s="103"/>
      <c r="D427" s="103"/>
      <c r="H427" s="103"/>
      <c r="I427" s="103"/>
    </row>
    <row r="428">
      <c r="B428" s="103"/>
      <c r="C428" s="103"/>
      <c r="D428" s="103"/>
      <c r="H428" s="103"/>
      <c r="I428" s="103"/>
    </row>
    <row r="429">
      <c r="B429" s="103"/>
      <c r="C429" s="103"/>
      <c r="D429" s="103"/>
      <c r="H429" s="103"/>
      <c r="I429" s="103"/>
    </row>
    <row r="430">
      <c r="B430" s="103"/>
      <c r="C430" s="103"/>
      <c r="D430" s="103"/>
      <c r="H430" s="103"/>
      <c r="I430" s="103"/>
    </row>
    <row r="431">
      <c r="B431" s="103"/>
      <c r="C431" s="103"/>
      <c r="D431" s="103"/>
      <c r="H431" s="103"/>
      <c r="I431" s="103"/>
    </row>
    <row r="432">
      <c r="B432" s="103"/>
      <c r="C432" s="103"/>
      <c r="D432" s="103"/>
      <c r="H432" s="103"/>
      <c r="I432" s="103"/>
    </row>
    <row r="433">
      <c r="B433" s="103"/>
      <c r="C433" s="103"/>
      <c r="D433" s="103"/>
      <c r="H433" s="103"/>
      <c r="I433" s="103"/>
    </row>
    <row r="434">
      <c r="B434" s="103"/>
      <c r="C434" s="103"/>
      <c r="D434" s="103"/>
      <c r="H434" s="103"/>
      <c r="I434" s="103"/>
    </row>
    <row r="435">
      <c r="B435" s="103"/>
      <c r="C435" s="103"/>
      <c r="D435" s="103"/>
      <c r="H435" s="103"/>
      <c r="I435" s="103"/>
    </row>
    <row r="436">
      <c r="B436" s="103"/>
      <c r="C436" s="103"/>
      <c r="D436" s="103"/>
      <c r="H436" s="103"/>
      <c r="I436" s="103"/>
    </row>
    <row r="437">
      <c r="B437" s="103"/>
      <c r="C437" s="103"/>
      <c r="D437" s="103"/>
      <c r="H437" s="103"/>
      <c r="I437" s="103"/>
    </row>
    <row r="438">
      <c r="B438" s="103"/>
      <c r="C438" s="103"/>
      <c r="D438" s="103"/>
      <c r="H438" s="103"/>
      <c r="I438" s="103"/>
    </row>
    <row r="439">
      <c r="B439" s="103"/>
      <c r="C439" s="103"/>
      <c r="D439" s="103"/>
      <c r="H439" s="103"/>
      <c r="I439" s="103"/>
    </row>
    <row r="440">
      <c r="B440" s="103"/>
      <c r="C440" s="103"/>
      <c r="D440" s="103"/>
      <c r="H440" s="103"/>
      <c r="I440" s="103"/>
    </row>
    <row r="441">
      <c r="B441" s="103"/>
      <c r="C441" s="103"/>
      <c r="D441" s="103"/>
      <c r="H441" s="103"/>
      <c r="I441" s="103"/>
    </row>
    <row r="442">
      <c r="B442" s="103"/>
      <c r="C442" s="103"/>
      <c r="D442" s="103"/>
      <c r="H442" s="103"/>
      <c r="I442" s="103"/>
    </row>
    <row r="443">
      <c r="B443" s="103"/>
      <c r="C443" s="103"/>
      <c r="D443" s="103"/>
      <c r="H443" s="103"/>
      <c r="I443" s="103"/>
    </row>
    <row r="444">
      <c r="B444" s="103"/>
      <c r="C444" s="103"/>
      <c r="D444" s="103"/>
      <c r="H444" s="103"/>
      <c r="I444" s="103"/>
    </row>
    <row r="445">
      <c r="B445" s="103"/>
      <c r="C445" s="103"/>
      <c r="D445" s="103"/>
      <c r="H445" s="103"/>
      <c r="I445" s="103"/>
    </row>
    <row r="446">
      <c r="B446" s="103"/>
      <c r="C446" s="103"/>
      <c r="D446" s="103"/>
      <c r="H446" s="103"/>
      <c r="I446" s="103"/>
    </row>
    <row r="447">
      <c r="B447" s="103"/>
      <c r="C447" s="103"/>
      <c r="D447" s="103"/>
      <c r="H447" s="103"/>
      <c r="I447" s="103"/>
    </row>
    <row r="448">
      <c r="B448" s="103"/>
      <c r="C448" s="103"/>
      <c r="D448" s="103"/>
      <c r="H448" s="103"/>
      <c r="I448" s="103"/>
    </row>
    <row r="449">
      <c r="B449" s="103"/>
      <c r="C449" s="103"/>
      <c r="D449" s="103"/>
      <c r="H449" s="103"/>
      <c r="I449" s="103"/>
    </row>
    <row r="450">
      <c r="B450" s="103"/>
      <c r="C450" s="103"/>
      <c r="D450" s="103"/>
      <c r="H450" s="103"/>
      <c r="I450" s="103"/>
    </row>
    <row r="451">
      <c r="B451" s="103"/>
      <c r="C451" s="103"/>
      <c r="D451" s="103"/>
      <c r="H451" s="103"/>
      <c r="I451" s="103"/>
    </row>
    <row r="452">
      <c r="B452" s="103"/>
      <c r="C452" s="103"/>
      <c r="D452" s="103"/>
      <c r="H452" s="103"/>
      <c r="I452" s="103"/>
    </row>
    <row r="453">
      <c r="B453" s="103"/>
      <c r="C453" s="103"/>
      <c r="D453" s="103"/>
      <c r="H453" s="103"/>
      <c r="I453" s="103"/>
    </row>
    <row r="454">
      <c r="B454" s="103"/>
      <c r="C454" s="103"/>
      <c r="D454" s="103"/>
      <c r="H454" s="103"/>
      <c r="I454" s="103"/>
    </row>
    <row r="455">
      <c r="B455" s="103"/>
      <c r="C455" s="103"/>
      <c r="D455" s="103"/>
      <c r="H455" s="103"/>
      <c r="I455" s="103"/>
    </row>
    <row r="456">
      <c r="B456" s="103"/>
      <c r="C456" s="103"/>
      <c r="D456" s="103"/>
      <c r="H456" s="103"/>
      <c r="I456" s="103"/>
    </row>
    <row r="457">
      <c r="B457" s="103"/>
      <c r="C457" s="103"/>
      <c r="D457" s="103"/>
      <c r="H457" s="103"/>
      <c r="I457" s="103"/>
    </row>
    <row r="458">
      <c r="B458" s="103"/>
      <c r="C458" s="103"/>
      <c r="D458" s="103"/>
      <c r="H458" s="103"/>
      <c r="I458" s="103"/>
    </row>
    <row r="459">
      <c r="B459" s="103"/>
      <c r="C459" s="103"/>
      <c r="D459" s="103"/>
      <c r="H459" s="103"/>
      <c r="I459" s="103"/>
    </row>
    <row r="460">
      <c r="B460" s="103"/>
      <c r="C460" s="103"/>
      <c r="D460" s="103"/>
      <c r="H460" s="103"/>
      <c r="I460" s="103"/>
    </row>
    <row r="461">
      <c r="B461" s="103"/>
      <c r="C461" s="103"/>
      <c r="D461" s="103"/>
      <c r="H461" s="103"/>
      <c r="I461" s="103"/>
    </row>
    <row r="462">
      <c r="B462" s="103"/>
      <c r="C462" s="103"/>
      <c r="D462" s="103"/>
      <c r="H462" s="103"/>
      <c r="I462" s="103"/>
    </row>
    <row r="463">
      <c r="B463" s="103"/>
      <c r="C463" s="103"/>
      <c r="D463" s="103"/>
      <c r="H463" s="103"/>
      <c r="I463" s="103"/>
    </row>
    <row r="464">
      <c r="B464" s="103"/>
      <c r="C464" s="103"/>
      <c r="D464" s="103"/>
      <c r="H464" s="103"/>
      <c r="I464" s="103"/>
    </row>
    <row r="465">
      <c r="B465" s="103"/>
      <c r="C465" s="103"/>
      <c r="D465" s="103"/>
      <c r="H465" s="103"/>
      <c r="I465" s="103"/>
    </row>
    <row r="466">
      <c r="B466" s="103"/>
      <c r="C466" s="103"/>
      <c r="D466" s="103"/>
      <c r="H466" s="103"/>
      <c r="I466" s="103"/>
    </row>
    <row r="467">
      <c r="B467" s="103"/>
      <c r="C467" s="103"/>
      <c r="D467" s="103"/>
      <c r="H467" s="103"/>
      <c r="I467" s="103"/>
    </row>
    <row r="468">
      <c r="B468" s="103"/>
      <c r="C468" s="103"/>
      <c r="D468" s="103"/>
      <c r="H468" s="103"/>
      <c r="I468" s="103"/>
    </row>
    <row r="469">
      <c r="B469" s="103"/>
      <c r="C469" s="103"/>
      <c r="D469" s="103"/>
      <c r="H469" s="103"/>
      <c r="I469" s="103"/>
    </row>
    <row r="470">
      <c r="B470" s="103"/>
      <c r="C470" s="103"/>
      <c r="D470" s="103"/>
      <c r="H470" s="103"/>
      <c r="I470" s="103"/>
    </row>
    <row r="471">
      <c r="B471" s="103"/>
      <c r="C471" s="103"/>
      <c r="D471" s="103"/>
      <c r="H471" s="103"/>
      <c r="I471" s="103"/>
    </row>
    <row r="472">
      <c r="B472" s="103"/>
      <c r="C472" s="103"/>
      <c r="D472" s="103"/>
      <c r="H472" s="103"/>
      <c r="I472" s="103"/>
    </row>
    <row r="473">
      <c r="B473" s="103"/>
      <c r="C473" s="103"/>
      <c r="D473" s="103"/>
      <c r="H473" s="103"/>
      <c r="I473" s="103"/>
    </row>
    <row r="474">
      <c r="B474" s="103"/>
      <c r="C474" s="103"/>
      <c r="D474" s="103"/>
      <c r="H474" s="103"/>
      <c r="I474" s="103"/>
    </row>
    <row r="475">
      <c r="B475" s="103"/>
      <c r="C475" s="103"/>
      <c r="D475" s="103"/>
      <c r="H475" s="103"/>
      <c r="I475" s="103"/>
    </row>
    <row r="476">
      <c r="B476" s="103"/>
      <c r="C476" s="103"/>
      <c r="D476" s="103"/>
      <c r="H476" s="103"/>
      <c r="I476" s="103"/>
    </row>
    <row r="477">
      <c r="B477" s="103"/>
      <c r="C477" s="103"/>
      <c r="D477" s="103"/>
      <c r="H477" s="103"/>
      <c r="I477" s="103"/>
    </row>
    <row r="478">
      <c r="B478" s="103"/>
      <c r="C478" s="103"/>
      <c r="D478" s="103"/>
      <c r="H478" s="103"/>
      <c r="I478" s="103"/>
    </row>
    <row r="479">
      <c r="B479" s="103"/>
      <c r="C479" s="103"/>
      <c r="D479" s="103"/>
      <c r="H479" s="103"/>
      <c r="I479" s="103"/>
    </row>
    <row r="480">
      <c r="B480" s="103"/>
      <c r="C480" s="103"/>
      <c r="D480" s="103"/>
      <c r="H480" s="103"/>
      <c r="I480" s="103"/>
    </row>
    <row r="481">
      <c r="B481" s="103"/>
      <c r="C481" s="103"/>
      <c r="D481" s="103"/>
      <c r="H481" s="103"/>
      <c r="I481" s="103"/>
    </row>
    <row r="482">
      <c r="B482" s="103"/>
      <c r="C482" s="103"/>
      <c r="D482" s="103"/>
      <c r="H482" s="103"/>
      <c r="I482" s="103"/>
    </row>
    <row r="483">
      <c r="B483" s="103"/>
      <c r="C483" s="103"/>
      <c r="D483" s="103"/>
      <c r="H483" s="103"/>
      <c r="I483" s="103"/>
    </row>
    <row r="484">
      <c r="B484" s="103"/>
      <c r="C484" s="103"/>
      <c r="D484" s="103"/>
      <c r="H484" s="103"/>
      <c r="I484" s="103"/>
    </row>
    <row r="485">
      <c r="B485" s="103"/>
      <c r="C485" s="103"/>
      <c r="D485" s="103"/>
      <c r="H485" s="103"/>
      <c r="I485" s="103"/>
    </row>
    <row r="486">
      <c r="B486" s="103"/>
      <c r="C486" s="103"/>
      <c r="D486" s="103"/>
      <c r="H486" s="103"/>
      <c r="I486" s="103"/>
    </row>
    <row r="487">
      <c r="B487" s="103"/>
      <c r="C487" s="103"/>
      <c r="D487" s="103"/>
      <c r="H487" s="103"/>
      <c r="I487" s="103"/>
    </row>
    <row r="488">
      <c r="B488" s="103"/>
      <c r="C488" s="103"/>
      <c r="D488" s="103"/>
      <c r="H488" s="103"/>
      <c r="I488" s="103"/>
    </row>
    <row r="489">
      <c r="B489" s="103"/>
      <c r="C489" s="103"/>
      <c r="D489" s="103"/>
      <c r="H489" s="103"/>
      <c r="I489" s="103"/>
    </row>
    <row r="490">
      <c r="B490" s="103"/>
      <c r="C490" s="103"/>
      <c r="D490" s="103"/>
      <c r="H490" s="103"/>
      <c r="I490" s="103"/>
    </row>
    <row r="491">
      <c r="B491" s="103"/>
      <c r="C491" s="103"/>
      <c r="D491" s="103"/>
      <c r="H491" s="103"/>
      <c r="I491" s="103"/>
    </row>
    <row r="492">
      <c r="B492" s="103"/>
      <c r="C492" s="103"/>
      <c r="D492" s="103"/>
      <c r="H492" s="103"/>
      <c r="I492" s="103"/>
    </row>
    <row r="493">
      <c r="B493" s="103"/>
      <c r="C493" s="103"/>
      <c r="D493" s="103"/>
      <c r="H493" s="103"/>
      <c r="I493" s="103"/>
    </row>
    <row r="494">
      <c r="B494" s="103"/>
      <c r="C494" s="103"/>
      <c r="D494" s="103"/>
      <c r="H494" s="103"/>
      <c r="I494" s="103"/>
    </row>
    <row r="495">
      <c r="B495" s="103"/>
      <c r="C495" s="103"/>
      <c r="D495" s="103"/>
      <c r="H495" s="103"/>
      <c r="I495" s="103"/>
    </row>
    <row r="496">
      <c r="B496" s="103"/>
      <c r="C496" s="103"/>
      <c r="D496" s="103"/>
      <c r="H496" s="103"/>
      <c r="I496" s="103"/>
    </row>
    <row r="497">
      <c r="B497" s="103"/>
      <c r="C497" s="103"/>
      <c r="D497" s="103"/>
      <c r="H497" s="103"/>
      <c r="I497" s="103"/>
    </row>
    <row r="498">
      <c r="B498" s="103"/>
      <c r="C498" s="103"/>
      <c r="D498" s="103"/>
      <c r="H498" s="103"/>
      <c r="I498" s="103"/>
    </row>
    <row r="499">
      <c r="B499" s="103"/>
      <c r="C499" s="103"/>
      <c r="D499" s="103"/>
      <c r="H499" s="103"/>
      <c r="I499" s="103"/>
    </row>
    <row r="500">
      <c r="B500" s="103"/>
      <c r="C500" s="103"/>
      <c r="D500" s="103"/>
      <c r="H500" s="103"/>
      <c r="I500" s="103"/>
    </row>
    <row r="501">
      <c r="B501" s="103"/>
      <c r="C501" s="103"/>
      <c r="D501" s="103"/>
      <c r="H501" s="103"/>
      <c r="I501" s="103"/>
    </row>
    <row r="502">
      <c r="B502" s="103"/>
      <c r="C502" s="103"/>
      <c r="D502" s="103"/>
      <c r="H502" s="103"/>
      <c r="I502" s="103"/>
    </row>
    <row r="503">
      <c r="B503" s="103"/>
      <c r="C503" s="103"/>
      <c r="D503" s="103"/>
      <c r="H503" s="103"/>
      <c r="I503" s="103"/>
    </row>
    <row r="504">
      <c r="B504" s="103"/>
      <c r="C504" s="103"/>
      <c r="D504" s="103"/>
      <c r="H504" s="103"/>
      <c r="I504" s="103"/>
    </row>
    <row r="505">
      <c r="B505" s="103"/>
      <c r="C505" s="103"/>
      <c r="D505" s="103"/>
      <c r="H505" s="103"/>
      <c r="I505" s="103"/>
    </row>
    <row r="506">
      <c r="B506" s="103"/>
      <c r="C506" s="103"/>
      <c r="D506" s="103"/>
      <c r="H506" s="103"/>
      <c r="I506" s="103"/>
    </row>
    <row r="507">
      <c r="B507" s="103"/>
      <c r="C507" s="103"/>
      <c r="D507" s="103"/>
      <c r="H507" s="103"/>
      <c r="I507" s="103"/>
    </row>
    <row r="508">
      <c r="B508" s="103"/>
      <c r="C508" s="103"/>
      <c r="D508" s="103"/>
      <c r="H508" s="103"/>
      <c r="I508" s="103"/>
    </row>
    <row r="509">
      <c r="B509" s="103"/>
      <c r="C509" s="103"/>
      <c r="D509" s="103"/>
      <c r="H509" s="103"/>
      <c r="I509" s="103"/>
    </row>
    <row r="510">
      <c r="B510" s="103"/>
      <c r="C510" s="103"/>
      <c r="D510" s="103"/>
      <c r="H510" s="103"/>
      <c r="I510" s="103"/>
    </row>
    <row r="511">
      <c r="B511" s="103"/>
      <c r="C511" s="103"/>
      <c r="D511" s="103"/>
      <c r="H511" s="103"/>
      <c r="I511" s="103"/>
    </row>
    <row r="512">
      <c r="B512" s="103"/>
      <c r="C512" s="103"/>
      <c r="D512" s="103"/>
      <c r="H512" s="103"/>
      <c r="I512" s="103"/>
    </row>
    <row r="513">
      <c r="B513" s="103"/>
      <c r="C513" s="103"/>
      <c r="D513" s="103"/>
      <c r="H513" s="103"/>
      <c r="I513" s="103"/>
    </row>
    <row r="514">
      <c r="B514" s="103"/>
      <c r="C514" s="103"/>
      <c r="D514" s="103"/>
      <c r="H514" s="103"/>
      <c r="I514" s="103"/>
    </row>
    <row r="515">
      <c r="B515" s="103"/>
      <c r="C515" s="103"/>
      <c r="D515" s="103"/>
      <c r="H515" s="103"/>
      <c r="I515" s="103"/>
    </row>
    <row r="516">
      <c r="B516" s="103"/>
      <c r="C516" s="103"/>
      <c r="D516" s="103"/>
      <c r="H516" s="103"/>
      <c r="I516" s="103"/>
    </row>
    <row r="517">
      <c r="B517" s="103"/>
      <c r="C517" s="103"/>
      <c r="D517" s="103"/>
      <c r="H517" s="103"/>
      <c r="I517" s="103"/>
    </row>
    <row r="518">
      <c r="B518" s="103"/>
      <c r="C518" s="103"/>
      <c r="D518" s="103"/>
      <c r="H518" s="103"/>
      <c r="I518" s="103"/>
    </row>
    <row r="519">
      <c r="B519" s="103"/>
      <c r="C519" s="103"/>
      <c r="D519" s="103"/>
      <c r="H519" s="103"/>
      <c r="I519" s="103"/>
    </row>
    <row r="520">
      <c r="B520" s="103"/>
      <c r="C520" s="103"/>
      <c r="D520" s="103"/>
      <c r="H520" s="103"/>
      <c r="I520" s="103"/>
    </row>
    <row r="521">
      <c r="B521" s="103"/>
      <c r="C521" s="103"/>
      <c r="D521" s="103"/>
      <c r="H521" s="103"/>
      <c r="I521" s="103"/>
    </row>
    <row r="522">
      <c r="B522" s="103"/>
      <c r="C522" s="103"/>
      <c r="D522" s="103"/>
      <c r="H522" s="103"/>
      <c r="I522" s="103"/>
    </row>
    <row r="523">
      <c r="B523" s="103"/>
      <c r="C523" s="103"/>
      <c r="D523" s="103"/>
      <c r="H523" s="103"/>
      <c r="I523" s="103"/>
    </row>
    <row r="524">
      <c r="B524" s="103"/>
      <c r="C524" s="103"/>
      <c r="D524" s="103"/>
      <c r="H524" s="103"/>
      <c r="I524" s="103"/>
    </row>
    <row r="525">
      <c r="B525" s="103"/>
      <c r="C525" s="103"/>
      <c r="D525" s="103"/>
      <c r="H525" s="103"/>
      <c r="I525" s="103"/>
    </row>
    <row r="526">
      <c r="B526" s="103"/>
      <c r="C526" s="103"/>
      <c r="D526" s="103"/>
      <c r="H526" s="103"/>
      <c r="I526" s="103"/>
    </row>
    <row r="527">
      <c r="B527" s="103"/>
      <c r="C527" s="103"/>
      <c r="D527" s="103"/>
      <c r="H527" s="103"/>
      <c r="I527" s="103"/>
    </row>
    <row r="528">
      <c r="B528" s="103"/>
      <c r="C528" s="103"/>
      <c r="D528" s="103"/>
      <c r="H528" s="103"/>
      <c r="I528" s="103"/>
    </row>
    <row r="529">
      <c r="B529" s="103"/>
      <c r="C529" s="103"/>
      <c r="D529" s="103"/>
      <c r="H529" s="103"/>
      <c r="I529" s="103"/>
    </row>
    <row r="530">
      <c r="B530" s="103"/>
      <c r="C530" s="103"/>
      <c r="D530" s="103"/>
      <c r="H530" s="103"/>
      <c r="I530" s="103"/>
    </row>
    <row r="531">
      <c r="B531" s="103"/>
      <c r="C531" s="103"/>
      <c r="D531" s="103"/>
      <c r="H531" s="103"/>
      <c r="I531" s="103"/>
    </row>
    <row r="532">
      <c r="B532" s="103"/>
      <c r="C532" s="103"/>
      <c r="D532" s="103"/>
      <c r="H532" s="103"/>
      <c r="I532" s="103"/>
    </row>
    <row r="533">
      <c r="B533" s="103"/>
      <c r="C533" s="103"/>
      <c r="D533" s="103"/>
      <c r="H533" s="103"/>
      <c r="I533" s="103"/>
    </row>
    <row r="534">
      <c r="B534" s="103"/>
      <c r="C534" s="103"/>
      <c r="D534" s="103"/>
      <c r="H534" s="103"/>
      <c r="I534" s="103"/>
    </row>
    <row r="535">
      <c r="B535" s="103"/>
      <c r="C535" s="103"/>
      <c r="D535" s="103"/>
      <c r="H535" s="103"/>
      <c r="I535" s="103"/>
    </row>
    <row r="536">
      <c r="B536" s="103"/>
      <c r="C536" s="103"/>
      <c r="D536" s="103"/>
      <c r="H536" s="103"/>
      <c r="I536" s="103"/>
    </row>
    <row r="537">
      <c r="B537" s="103"/>
      <c r="C537" s="103"/>
      <c r="D537" s="103"/>
      <c r="H537" s="103"/>
      <c r="I537" s="103"/>
    </row>
    <row r="538">
      <c r="B538" s="103"/>
      <c r="C538" s="103"/>
      <c r="D538" s="103"/>
      <c r="H538" s="103"/>
      <c r="I538" s="103"/>
    </row>
    <row r="539">
      <c r="B539" s="103"/>
      <c r="C539" s="103"/>
      <c r="D539" s="103"/>
      <c r="H539" s="103"/>
      <c r="I539" s="103"/>
    </row>
    <row r="540">
      <c r="B540" s="103"/>
      <c r="C540" s="103"/>
      <c r="D540" s="103"/>
      <c r="H540" s="103"/>
      <c r="I540" s="103"/>
    </row>
    <row r="541">
      <c r="B541" s="103"/>
      <c r="C541" s="103"/>
      <c r="D541" s="103"/>
      <c r="H541" s="103"/>
      <c r="I541" s="103"/>
    </row>
    <row r="542">
      <c r="B542" s="103"/>
      <c r="C542" s="103"/>
      <c r="D542" s="103"/>
      <c r="H542" s="103"/>
      <c r="I542" s="103"/>
    </row>
    <row r="543">
      <c r="B543" s="103"/>
      <c r="C543" s="103"/>
      <c r="D543" s="103"/>
      <c r="H543" s="103"/>
      <c r="I543" s="103"/>
    </row>
    <row r="544">
      <c r="B544" s="103"/>
      <c r="C544" s="103"/>
      <c r="D544" s="103"/>
      <c r="H544" s="103"/>
      <c r="I544" s="103"/>
    </row>
    <row r="545">
      <c r="B545" s="103"/>
      <c r="C545" s="103"/>
      <c r="D545" s="103"/>
      <c r="H545" s="103"/>
      <c r="I545" s="103"/>
    </row>
    <row r="546">
      <c r="B546" s="103"/>
      <c r="C546" s="103"/>
      <c r="D546" s="103"/>
      <c r="H546" s="103"/>
      <c r="I546" s="103"/>
    </row>
    <row r="547">
      <c r="B547" s="103"/>
      <c r="C547" s="103"/>
      <c r="D547" s="103"/>
      <c r="H547" s="103"/>
      <c r="I547" s="103"/>
    </row>
    <row r="548">
      <c r="B548" s="103"/>
      <c r="C548" s="103"/>
      <c r="D548" s="103"/>
      <c r="H548" s="103"/>
      <c r="I548" s="103"/>
    </row>
    <row r="549">
      <c r="B549" s="103"/>
      <c r="C549" s="103"/>
      <c r="D549" s="103"/>
      <c r="H549" s="103"/>
      <c r="I549" s="103"/>
    </row>
    <row r="550">
      <c r="B550" s="103"/>
      <c r="C550" s="103"/>
      <c r="D550" s="103"/>
      <c r="H550" s="103"/>
      <c r="I550" s="103"/>
    </row>
    <row r="551">
      <c r="B551" s="103"/>
      <c r="C551" s="103"/>
      <c r="D551" s="103"/>
      <c r="H551" s="103"/>
      <c r="I551" s="103"/>
    </row>
    <row r="552">
      <c r="B552" s="103"/>
      <c r="C552" s="103"/>
      <c r="D552" s="103"/>
      <c r="H552" s="103"/>
      <c r="I552" s="103"/>
    </row>
    <row r="553">
      <c r="B553" s="103"/>
      <c r="C553" s="103"/>
      <c r="D553" s="103"/>
      <c r="H553" s="103"/>
      <c r="I553" s="103"/>
    </row>
    <row r="554">
      <c r="B554" s="103"/>
      <c r="C554" s="103"/>
      <c r="D554" s="103"/>
      <c r="H554" s="103"/>
      <c r="I554" s="103"/>
    </row>
    <row r="555">
      <c r="B555" s="103"/>
      <c r="C555" s="103"/>
      <c r="D555" s="103"/>
      <c r="H555" s="103"/>
      <c r="I555" s="103"/>
    </row>
    <row r="556">
      <c r="B556" s="103"/>
      <c r="C556" s="103"/>
      <c r="D556" s="103"/>
      <c r="H556" s="103"/>
      <c r="I556" s="103"/>
    </row>
    <row r="557">
      <c r="B557" s="103"/>
      <c r="C557" s="103"/>
      <c r="D557" s="103"/>
      <c r="H557" s="103"/>
      <c r="I557" s="103"/>
    </row>
    <row r="558">
      <c r="B558" s="103"/>
      <c r="C558" s="103"/>
      <c r="D558" s="103"/>
      <c r="H558" s="103"/>
      <c r="I558" s="103"/>
    </row>
    <row r="559">
      <c r="B559" s="103"/>
      <c r="C559" s="103"/>
      <c r="D559" s="103"/>
      <c r="H559" s="103"/>
      <c r="I559" s="103"/>
    </row>
    <row r="560">
      <c r="B560" s="103"/>
      <c r="C560" s="103"/>
      <c r="D560" s="103"/>
      <c r="H560" s="103"/>
      <c r="I560" s="103"/>
    </row>
    <row r="561">
      <c r="B561" s="103"/>
      <c r="C561" s="103"/>
      <c r="D561" s="103"/>
      <c r="H561" s="103"/>
      <c r="I561" s="103"/>
    </row>
    <row r="562">
      <c r="B562" s="103"/>
      <c r="C562" s="103"/>
      <c r="D562" s="103"/>
      <c r="H562" s="103"/>
      <c r="I562" s="103"/>
    </row>
    <row r="563">
      <c r="B563" s="103"/>
      <c r="C563" s="103"/>
      <c r="D563" s="103"/>
      <c r="H563" s="103"/>
      <c r="I563" s="103"/>
    </row>
    <row r="564">
      <c r="B564" s="103"/>
      <c r="C564" s="103"/>
      <c r="D564" s="103"/>
      <c r="H564" s="103"/>
      <c r="I564" s="103"/>
    </row>
    <row r="565">
      <c r="B565" s="103"/>
      <c r="C565" s="103"/>
      <c r="D565" s="103"/>
      <c r="H565" s="103"/>
      <c r="I565" s="103"/>
    </row>
    <row r="566">
      <c r="B566" s="103"/>
      <c r="C566" s="103"/>
      <c r="D566" s="103"/>
      <c r="H566" s="103"/>
      <c r="I566" s="103"/>
    </row>
    <row r="567">
      <c r="B567" s="103"/>
      <c r="C567" s="103"/>
      <c r="D567" s="103"/>
      <c r="H567" s="103"/>
      <c r="I567" s="103"/>
    </row>
    <row r="568">
      <c r="B568" s="103"/>
      <c r="C568" s="103"/>
      <c r="D568" s="103"/>
      <c r="H568" s="103"/>
      <c r="I568" s="103"/>
    </row>
    <row r="569">
      <c r="B569" s="103"/>
      <c r="C569" s="103"/>
      <c r="D569" s="103"/>
      <c r="H569" s="103"/>
      <c r="I569" s="103"/>
    </row>
    <row r="570">
      <c r="B570" s="103"/>
      <c r="C570" s="103"/>
      <c r="D570" s="103"/>
      <c r="H570" s="103"/>
      <c r="I570" s="103"/>
    </row>
    <row r="571">
      <c r="B571" s="103"/>
      <c r="C571" s="103"/>
      <c r="D571" s="103"/>
      <c r="H571" s="103"/>
      <c r="I571" s="103"/>
    </row>
    <row r="572">
      <c r="B572" s="103"/>
      <c r="C572" s="103"/>
      <c r="D572" s="103"/>
      <c r="H572" s="103"/>
      <c r="I572" s="103"/>
    </row>
    <row r="573">
      <c r="B573" s="103"/>
      <c r="C573" s="103"/>
      <c r="D573" s="103"/>
      <c r="H573" s="103"/>
      <c r="I573" s="103"/>
    </row>
    <row r="574">
      <c r="B574" s="103"/>
      <c r="C574" s="103"/>
      <c r="D574" s="103"/>
      <c r="H574" s="103"/>
      <c r="I574" s="103"/>
    </row>
    <row r="575">
      <c r="B575" s="103"/>
      <c r="C575" s="103"/>
      <c r="D575" s="103"/>
      <c r="H575" s="103"/>
      <c r="I575" s="103"/>
    </row>
    <row r="576">
      <c r="B576" s="103"/>
      <c r="C576" s="103"/>
      <c r="D576" s="103"/>
      <c r="H576" s="103"/>
      <c r="I576" s="103"/>
    </row>
    <row r="577">
      <c r="B577" s="103"/>
      <c r="C577" s="103"/>
      <c r="D577" s="103"/>
      <c r="H577" s="103"/>
      <c r="I577" s="103"/>
    </row>
    <row r="578">
      <c r="B578" s="103"/>
      <c r="C578" s="103"/>
      <c r="D578" s="103"/>
      <c r="H578" s="103"/>
      <c r="I578" s="103"/>
    </row>
    <row r="579">
      <c r="B579" s="103"/>
      <c r="C579" s="103"/>
      <c r="D579" s="103"/>
      <c r="H579" s="103"/>
      <c r="I579" s="103"/>
    </row>
    <row r="580">
      <c r="B580" s="103"/>
      <c r="C580" s="103"/>
      <c r="D580" s="103"/>
      <c r="H580" s="103"/>
      <c r="I580" s="103"/>
    </row>
    <row r="581">
      <c r="B581" s="103"/>
      <c r="C581" s="103"/>
      <c r="D581" s="103"/>
      <c r="H581" s="103"/>
      <c r="I581" s="103"/>
    </row>
    <row r="582">
      <c r="B582" s="103"/>
      <c r="C582" s="103"/>
      <c r="D582" s="103"/>
      <c r="H582" s="103"/>
      <c r="I582" s="103"/>
    </row>
    <row r="583">
      <c r="B583" s="103"/>
      <c r="C583" s="103"/>
      <c r="D583" s="103"/>
      <c r="H583" s="103"/>
      <c r="I583" s="103"/>
    </row>
    <row r="584">
      <c r="B584" s="103"/>
      <c r="C584" s="103"/>
      <c r="D584" s="103"/>
      <c r="H584" s="103"/>
      <c r="I584" s="103"/>
    </row>
    <row r="585">
      <c r="B585" s="103"/>
      <c r="C585" s="103"/>
      <c r="D585" s="103"/>
      <c r="H585" s="103"/>
      <c r="I585" s="103"/>
    </row>
    <row r="586">
      <c r="B586" s="103"/>
      <c r="C586" s="103"/>
      <c r="D586" s="103"/>
      <c r="H586" s="103"/>
      <c r="I586" s="103"/>
    </row>
    <row r="587">
      <c r="B587" s="103"/>
      <c r="C587" s="103"/>
      <c r="D587" s="103"/>
      <c r="H587" s="103"/>
      <c r="I587" s="103"/>
    </row>
    <row r="588">
      <c r="B588" s="103"/>
      <c r="C588" s="103"/>
      <c r="D588" s="103"/>
      <c r="H588" s="103"/>
      <c r="I588" s="103"/>
    </row>
    <row r="589">
      <c r="B589" s="103"/>
      <c r="C589" s="103"/>
      <c r="D589" s="103"/>
      <c r="H589" s="103"/>
      <c r="I589" s="103"/>
    </row>
    <row r="590">
      <c r="B590" s="103"/>
      <c r="C590" s="103"/>
      <c r="D590" s="103"/>
      <c r="H590" s="103"/>
      <c r="I590" s="103"/>
    </row>
    <row r="591">
      <c r="B591" s="103"/>
      <c r="C591" s="103"/>
      <c r="D591" s="103"/>
      <c r="H591" s="103"/>
      <c r="I591" s="103"/>
    </row>
    <row r="592">
      <c r="B592" s="103"/>
      <c r="C592" s="103"/>
      <c r="D592" s="103"/>
      <c r="H592" s="103"/>
      <c r="I592" s="103"/>
    </row>
    <row r="593">
      <c r="B593" s="103"/>
      <c r="C593" s="103"/>
      <c r="D593" s="103"/>
      <c r="H593" s="103"/>
      <c r="I593" s="103"/>
    </row>
    <row r="594">
      <c r="B594" s="103"/>
      <c r="C594" s="103"/>
      <c r="D594" s="103"/>
      <c r="H594" s="103"/>
      <c r="I594" s="103"/>
    </row>
    <row r="595">
      <c r="B595" s="103"/>
      <c r="C595" s="103"/>
      <c r="D595" s="103"/>
      <c r="H595" s="103"/>
      <c r="I595" s="103"/>
    </row>
    <row r="596">
      <c r="B596" s="103"/>
      <c r="C596" s="103"/>
      <c r="D596" s="103"/>
      <c r="H596" s="103"/>
      <c r="I596" s="103"/>
    </row>
    <row r="597">
      <c r="B597" s="103"/>
      <c r="C597" s="103"/>
      <c r="D597" s="103"/>
      <c r="H597" s="103"/>
      <c r="I597" s="103"/>
    </row>
    <row r="598">
      <c r="B598" s="103"/>
      <c r="C598" s="103"/>
      <c r="D598" s="103"/>
      <c r="H598" s="103"/>
      <c r="I598" s="103"/>
    </row>
    <row r="599">
      <c r="B599" s="103"/>
      <c r="C599" s="103"/>
      <c r="D599" s="103"/>
      <c r="H599" s="103"/>
      <c r="I599" s="103"/>
    </row>
    <row r="600">
      <c r="B600" s="103"/>
      <c r="C600" s="103"/>
      <c r="D600" s="103"/>
      <c r="H600" s="103"/>
      <c r="I600" s="103"/>
    </row>
    <row r="601">
      <c r="B601" s="103"/>
      <c r="C601" s="103"/>
      <c r="D601" s="103"/>
      <c r="H601" s="103"/>
      <c r="I601" s="103"/>
    </row>
    <row r="602">
      <c r="B602" s="103"/>
      <c r="C602" s="103"/>
      <c r="D602" s="103"/>
      <c r="H602" s="103"/>
      <c r="I602" s="103"/>
    </row>
    <row r="603">
      <c r="B603" s="103"/>
      <c r="C603" s="103"/>
      <c r="D603" s="103"/>
      <c r="H603" s="103"/>
      <c r="I603" s="103"/>
    </row>
    <row r="604">
      <c r="B604" s="103"/>
      <c r="C604" s="103"/>
      <c r="D604" s="103"/>
      <c r="H604" s="103"/>
      <c r="I604" s="103"/>
    </row>
    <row r="605">
      <c r="B605" s="103"/>
      <c r="C605" s="103"/>
      <c r="D605" s="103"/>
      <c r="H605" s="103"/>
      <c r="I605" s="103"/>
    </row>
    <row r="606">
      <c r="B606" s="103"/>
      <c r="C606" s="103"/>
      <c r="D606" s="103"/>
      <c r="H606" s="103"/>
      <c r="I606" s="103"/>
    </row>
    <row r="607">
      <c r="B607" s="103"/>
      <c r="C607" s="103"/>
      <c r="D607" s="103"/>
      <c r="H607" s="103"/>
      <c r="I607" s="103"/>
    </row>
    <row r="608">
      <c r="B608" s="103"/>
      <c r="C608" s="103"/>
      <c r="D608" s="103"/>
      <c r="H608" s="103"/>
      <c r="I608" s="103"/>
    </row>
    <row r="609">
      <c r="B609" s="103"/>
      <c r="C609" s="103"/>
      <c r="D609" s="103"/>
      <c r="H609" s="103"/>
      <c r="I609" s="103"/>
    </row>
    <row r="610">
      <c r="B610" s="103"/>
      <c r="C610" s="103"/>
      <c r="D610" s="103"/>
      <c r="H610" s="103"/>
      <c r="I610" s="103"/>
    </row>
    <row r="611">
      <c r="B611" s="103"/>
      <c r="C611" s="103"/>
      <c r="D611" s="103"/>
      <c r="H611" s="103"/>
      <c r="I611" s="103"/>
    </row>
    <row r="612">
      <c r="B612" s="103"/>
      <c r="C612" s="103"/>
      <c r="D612" s="103"/>
      <c r="H612" s="103"/>
      <c r="I612" s="103"/>
    </row>
    <row r="613">
      <c r="B613" s="103"/>
      <c r="C613" s="103"/>
      <c r="D613" s="103"/>
      <c r="H613" s="103"/>
      <c r="I613" s="103"/>
    </row>
    <row r="614">
      <c r="B614" s="103"/>
      <c r="C614" s="103"/>
      <c r="D614" s="103"/>
      <c r="H614" s="103"/>
      <c r="I614" s="103"/>
    </row>
    <row r="615">
      <c r="B615" s="103"/>
      <c r="C615" s="103"/>
      <c r="D615" s="103"/>
      <c r="H615" s="103"/>
      <c r="I615" s="103"/>
    </row>
    <row r="616">
      <c r="B616" s="103"/>
      <c r="C616" s="103"/>
      <c r="D616" s="103"/>
      <c r="H616" s="103"/>
      <c r="I616" s="103"/>
    </row>
    <row r="617">
      <c r="B617" s="103"/>
      <c r="C617" s="103"/>
      <c r="D617" s="103"/>
      <c r="H617" s="103"/>
      <c r="I617" s="103"/>
    </row>
    <row r="618">
      <c r="B618" s="103"/>
      <c r="C618" s="103"/>
      <c r="D618" s="103"/>
      <c r="H618" s="103"/>
      <c r="I618" s="103"/>
    </row>
    <row r="619">
      <c r="B619" s="103"/>
      <c r="C619" s="103"/>
      <c r="D619" s="103"/>
      <c r="H619" s="103"/>
      <c r="I619" s="103"/>
    </row>
    <row r="620">
      <c r="B620" s="103"/>
      <c r="C620" s="103"/>
      <c r="D620" s="103"/>
      <c r="H620" s="103"/>
      <c r="I620" s="103"/>
    </row>
    <row r="621">
      <c r="B621" s="103"/>
      <c r="C621" s="103"/>
      <c r="D621" s="103"/>
      <c r="H621" s="103"/>
      <c r="I621" s="103"/>
    </row>
    <row r="622">
      <c r="B622" s="103"/>
      <c r="C622" s="103"/>
      <c r="D622" s="103"/>
      <c r="H622" s="103"/>
      <c r="I622" s="103"/>
    </row>
    <row r="623">
      <c r="B623" s="103"/>
      <c r="C623" s="103"/>
      <c r="D623" s="103"/>
      <c r="H623" s="103"/>
      <c r="I623" s="103"/>
    </row>
    <row r="624">
      <c r="B624" s="103"/>
      <c r="C624" s="103"/>
      <c r="D624" s="103"/>
      <c r="H624" s="103"/>
      <c r="I624" s="103"/>
    </row>
    <row r="625">
      <c r="B625" s="103"/>
      <c r="C625" s="103"/>
      <c r="D625" s="103"/>
      <c r="H625" s="103"/>
      <c r="I625" s="103"/>
    </row>
    <row r="626">
      <c r="B626" s="103"/>
      <c r="C626" s="103"/>
      <c r="D626" s="103"/>
      <c r="H626" s="103"/>
      <c r="I626" s="103"/>
    </row>
    <row r="627">
      <c r="B627" s="103"/>
      <c r="C627" s="103"/>
      <c r="D627" s="103"/>
      <c r="H627" s="103"/>
      <c r="I627" s="103"/>
    </row>
    <row r="628">
      <c r="B628" s="103"/>
      <c r="C628" s="103"/>
      <c r="D628" s="103"/>
      <c r="H628" s="103"/>
      <c r="I628" s="103"/>
    </row>
    <row r="629">
      <c r="B629" s="103"/>
      <c r="C629" s="103"/>
      <c r="D629" s="103"/>
      <c r="H629" s="103"/>
      <c r="I629" s="103"/>
    </row>
    <row r="630">
      <c r="B630" s="103"/>
      <c r="C630" s="103"/>
      <c r="D630" s="103"/>
      <c r="H630" s="103"/>
      <c r="I630" s="103"/>
    </row>
    <row r="631">
      <c r="B631" s="103"/>
      <c r="C631" s="103"/>
      <c r="D631" s="103"/>
      <c r="H631" s="103"/>
      <c r="I631" s="103"/>
    </row>
    <row r="632">
      <c r="B632" s="103"/>
      <c r="C632" s="103"/>
      <c r="D632" s="103"/>
      <c r="H632" s="103"/>
      <c r="I632" s="103"/>
    </row>
    <row r="633">
      <c r="B633" s="103"/>
      <c r="C633" s="103"/>
      <c r="D633" s="103"/>
      <c r="H633" s="103"/>
      <c r="I633" s="103"/>
    </row>
    <row r="634">
      <c r="B634" s="103"/>
      <c r="C634" s="103"/>
      <c r="D634" s="103"/>
      <c r="H634" s="103"/>
      <c r="I634" s="103"/>
    </row>
    <row r="635">
      <c r="B635" s="103"/>
      <c r="C635" s="103"/>
      <c r="D635" s="103"/>
      <c r="H635" s="103"/>
      <c r="I635" s="103"/>
    </row>
    <row r="636">
      <c r="B636" s="103"/>
      <c r="C636" s="103"/>
      <c r="D636" s="103"/>
      <c r="H636" s="103"/>
      <c r="I636" s="103"/>
    </row>
    <row r="637">
      <c r="B637" s="103"/>
      <c r="C637" s="103"/>
      <c r="D637" s="103"/>
      <c r="H637" s="103"/>
      <c r="I637" s="103"/>
    </row>
    <row r="638">
      <c r="B638" s="103"/>
      <c r="C638" s="103"/>
      <c r="D638" s="103"/>
      <c r="H638" s="103"/>
      <c r="I638" s="103"/>
    </row>
    <row r="639">
      <c r="B639" s="103"/>
      <c r="C639" s="103"/>
      <c r="D639" s="103"/>
      <c r="H639" s="103"/>
      <c r="I639" s="103"/>
    </row>
    <row r="640">
      <c r="B640" s="103"/>
      <c r="C640" s="103"/>
      <c r="D640" s="103"/>
      <c r="H640" s="103"/>
      <c r="I640" s="103"/>
    </row>
    <row r="641">
      <c r="B641" s="103"/>
      <c r="C641" s="103"/>
      <c r="D641" s="103"/>
      <c r="H641" s="103"/>
      <c r="I641" s="103"/>
    </row>
    <row r="642">
      <c r="B642" s="103"/>
      <c r="C642" s="103"/>
      <c r="D642" s="103"/>
      <c r="H642" s="103"/>
      <c r="I642" s="103"/>
    </row>
    <row r="643">
      <c r="B643" s="103"/>
      <c r="C643" s="103"/>
      <c r="D643" s="103"/>
      <c r="H643" s="103"/>
      <c r="I643" s="103"/>
    </row>
    <row r="644">
      <c r="B644" s="103"/>
      <c r="C644" s="103"/>
      <c r="D644" s="103"/>
      <c r="H644" s="103"/>
      <c r="I644" s="103"/>
    </row>
    <row r="645">
      <c r="B645" s="103"/>
      <c r="C645" s="103"/>
      <c r="D645" s="103"/>
      <c r="H645" s="103"/>
      <c r="I645" s="103"/>
    </row>
    <row r="646">
      <c r="B646" s="103"/>
      <c r="C646" s="103"/>
      <c r="D646" s="103"/>
      <c r="H646" s="103"/>
      <c r="I646" s="103"/>
    </row>
    <row r="647">
      <c r="B647" s="103"/>
      <c r="C647" s="103"/>
      <c r="D647" s="103"/>
      <c r="H647" s="103"/>
      <c r="I647" s="103"/>
    </row>
    <row r="648">
      <c r="B648" s="103"/>
      <c r="C648" s="103"/>
      <c r="D648" s="103"/>
      <c r="H648" s="103"/>
      <c r="I648" s="103"/>
    </row>
    <row r="649">
      <c r="B649" s="103"/>
      <c r="C649" s="103"/>
      <c r="D649" s="103"/>
      <c r="H649" s="103"/>
      <c r="I649" s="103"/>
    </row>
    <row r="650">
      <c r="B650" s="103"/>
      <c r="C650" s="103"/>
      <c r="D650" s="103"/>
      <c r="H650" s="103"/>
      <c r="I650" s="103"/>
    </row>
    <row r="651">
      <c r="B651" s="103"/>
      <c r="C651" s="103"/>
      <c r="D651" s="103"/>
      <c r="H651" s="103"/>
      <c r="I651" s="103"/>
    </row>
    <row r="652">
      <c r="B652" s="103"/>
      <c r="C652" s="103"/>
      <c r="D652" s="103"/>
      <c r="H652" s="103"/>
      <c r="I652" s="103"/>
    </row>
    <row r="653">
      <c r="B653" s="103"/>
      <c r="C653" s="103"/>
      <c r="D653" s="103"/>
      <c r="H653" s="103"/>
      <c r="I653" s="103"/>
    </row>
    <row r="654">
      <c r="B654" s="103"/>
      <c r="C654" s="103"/>
      <c r="D654" s="103"/>
      <c r="H654" s="103"/>
      <c r="I654" s="103"/>
    </row>
    <row r="655">
      <c r="B655" s="103"/>
      <c r="C655" s="103"/>
      <c r="D655" s="103"/>
      <c r="H655" s="103"/>
      <c r="I655" s="103"/>
    </row>
    <row r="656">
      <c r="B656" s="103"/>
      <c r="C656" s="103"/>
      <c r="D656" s="103"/>
      <c r="H656" s="103"/>
      <c r="I656" s="103"/>
    </row>
    <row r="657">
      <c r="B657" s="103"/>
      <c r="C657" s="103"/>
      <c r="D657" s="103"/>
      <c r="H657" s="103"/>
      <c r="I657" s="103"/>
    </row>
    <row r="658">
      <c r="B658" s="103"/>
      <c r="C658" s="103"/>
      <c r="D658" s="103"/>
      <c r="H658" s="103"/>
      <c r="I658" s="103"/>
    </row>
    <row r="659">
      <c r="B659" s="103"/>
      <c r="C659" s="103"/>
      <c r="D659" s="103"/>
      <c r="H659" s="103"/>
      <c r="I659" s="103"/>
    </row>
    <row r="660">
      <c r="B660" s="103"/>
      <c r="C660" s="103"/>
      <c r="D660" s="103"/>
      <c r="H660" s="103"/>
      <c r="I660" s="103"/>
    </row>
    <row r="661">
      <c r="B661" s="103"/>
      <c r="C661" s="103"/>
      <c r="D661" s="103"/>
      <c r="H661" s="103"/>
      <c r="I661" s="103"/>
    </row>
    <row r="662">
      <c r="B662" s="103"/>
      <c r="C662" s="103"/>
      <c r="D662" s="103"/>
      <c r="H662" s="103"/>
      <c r="I662" s="103"/>
    </row>
    <row r="663">
      <c r="B663" s="103"/>
      <c r="C663" s="103"/>
      <c r="D663" s="103"/>
      <c r="H663" s="103"/>
      <c r="I663" s="103"/>
    </row>
    <row r="664">
      <c r="B664" s="103"/>
      <c r="C664" s="103"/>
      <c r="D664" s="103"/>
      <c r="H664" s="103"/>
      <c r="I664" s="103"/>
    </row>
    <row r="665">
      <c r="B665" s="103"/>
      <c r="C665" s="103"/>
      <c r="D665" s="103"/>
      <c r="H665" s="103"/>
      <c r="I665" s="103"/>
    </row>
    <row r="666">
      <c r="B666" s="103"/>
      <c r="C666" s="103"/>
      <c r="D666" s="103"/>
      <c r="H666" s="103"/>
      <c r="I666" s="103"/>
    </row>
    <row r="667">
      <c r="B667" s="103"/>
      <c r="C667" s="103"/>
      <c r="D667" s="103"/>
      <c r="H667" s="103"/>
      <c r="I667" s="103"/>
    </row>
    <row r="668">
      <c r="B668" s="103"/>
      <c r="C668" s="103"/>
      <c r="D668" s="103"/>
      <c r="H668" s="103"/>
      <c r="I668" s="103"/>
    </row>
    <row r="669">
      <c r="B669" s="103"/>
      <c r="C669" s="103"/>
      <c r="D669" s="103"/>
      <c r="H669" s="103"/>
      <c r="I669" s="103"/>
    </row>
    <row r="670">
      <c r="B670" s="103"/>
      <c r="C670" s="103"/>
      <c r="D670" s="103"/>
      <c r="H670" s="103"/>
      <c r="I670" s="103"/>
    </row>
    <row r="671">
      <c r="B671" s="103"/>
      <c r="C671" s="103"/>
      <c r="D671" s="103"/>
      <c r="H671" s="103"/>
      <c r="I671" s="103"/>
    </row>
    <row r="672">
      <c r="B672" s="103"/>
      <c r="C672" s="103"/>
      <c r="D672" s="103"/>
      <c r="H672" s="103"/>
      <c r="I672" s="103"/>
    </row>
    <row r="673">
      <c r="B673" s="103"/>
      <c r="C673" s="103"/>
      <c r="D673" s="103"/>
      <c r="H673" s="103"/>
      <c r="I673" s="103"/>
    </row>
    <row r="674">
      <c r="B674" s="103"/>
      <c r="C674" s="103"/>
      <c r="D674" s="103"/>
      <c r="H674" s="103"/>
      <c r="I674" s="103"/>
    </row>
    <row r="675">
      <c r="B675" s="103"/>
      <c r="C675" s="103"/>
      <c r="D675" s="103"/>
      <c r="H675" s="103"/>
      <c r="I675" s="103"/>
    </row>
    <row r="676">
      <c r="B676" s="103"/>
      <c r="C676" s="103"/>
      <c r="D676" s="103"/>
      <c r="H676" s="103"/>
      <c r="I676" s="103"/>
    </row>
    <row r="677">
      <c r="B677" s="103"/>
      <c r="C677" s="103"/>
      <c r="D677" s="103"/>
      <c r="H677" s="103"/>
      <c r="I677" s="103"/>
    </row>
    <row r="678">
      <c r="B678" s="103"/>
      <c r="C678" s="103"/>
      <c r="D678" s="103"/>
      <c r="H678" s="103"/>
      <c r="I678" s="103"/>
    </row>
    <row r="679">
      <c r="B679" s="103"/>
      <c r="C679" s="103"/>
      <c r="D679" s="103"/>
      <c r="H679" s="103"/>
      <c r="I679" s="103"/>
    </row>
    <row r="680">
      <c r="B680" s="103"/>
      <c r="C680" s="103"/>
      <c r="D680" s="103"/>
      <c r="H680" s="103"/>
      <c r="I680" s="103"/>
    </row>
    <row r="681">
      <c r="B681" s="103"/>
      <c r="C681" s="103"/>
      <c r="D681" s="103"/>
      <c r="H681" s="103"/>
      <c r="I681" s="103"/>
    </row>
    <row r="682">
      <c r="B682" s="103"/>
      <c r="C682" s="103"/>
      <c r="D682" s="103"/>
      <c r="H682" s="103"/>
      <c r="I682" s="103"/>
    </row>
    <row r="683">
      <c r="B683" s="103"/>
      <c r="C683" s="103"/>
      <c r="D683" s="103"/>
      <c r="H683" s="103"/>
      <c r="I683" s="103"/>
    </row>
    <row r="684">
      <c r="B684" s="103"/>
      <c r="C684" s="103"/>
      <c r="D684" s="103"/>
      <c r="H684" s="103"/>
      <c r="I684" s="103"/>
    </row>
    <row r="685">
      <c r="B685" s="103"/>
      <c r="C685" s="103"/>
      <c r="D685" s="103"/>
      <c r="H685" s="103"/>
      <c r="I685" s="103"/>
    </row>
    <row r="686">
      <c r="B686" s="103"/>
      <c r="C686" s="103"/>
      <c r="D686" s="103"/>
      <c r="H686" s="103"/>
      <c r="I686" s="103"/>
    </row>
    <row r="687">
      <c r="B687" s="103"/>
      <c r="C687" s="103"/>
      <c r="D687" s="103"/>
      <c r="H687" s="103"/>
      <c r="I687" s="103"/>
    </row>
    <row r="688">
      <c r="B688" s="103"/>
      <c r="C688" s="103"/>
      <c r="D688" s="103"/>
      <c r="H688" s="103"/>
      <c r="I688" s="103"/>
    </row>
    <row r="689">
      <c r="B689" s="103"/>
      <c r="C689" s="103"/>
      <c r="D689" s="103"/>
      <c r="H689" s="103"/>
      <c r="I689" s="103"/>
    </row>
    <row r="690">
      <c r="B690" s="103"/>
      <c r="C690" s="103"/>
      <c r="D690" s="103"/>
      <c r="H690" s="103"/>
      <c r="I690" s="103"/>
    </row>
    <row r="691">
      <c r="B691" s="103"/>
      <c r="C691" s="103"/>
      <c r="D691" s="103"/>
      <c r="H691" s="103"/>
      <c r="I691" s="103"/>
    </row>
    <row r="692">
      <c r="B692" s="103"/>
      <c r="C692" s="103"/>
      <c r="D692" s="103"/>
      <c r="H692" s="103"/>
      <c r="I692" s="103"/>
    </row>
    <row r="693">
      <c r="B693" s="103"/>
      <c r="C693" s="103"/>
      <c r="D693" s="103"/>
      <c r="H693" s="103"/>
      <c r="I693" s="103"/>
    </row>
    <row r="694">
      <c r="B694" s="103"/>
      <c r="C694" s="103"/>
      <c r="D694" s="103"/>
      <c r="H694" s="103"/>
      <c r="I694" s="103"/>
    </row>
    <row r="695">
      <c r="B695" s="103"/>
      <c r="C695" s="103"/>
      <c r="D695" s="103"/>
      <c r="H695" s="103"/>
      <c r="I695" s="103"/>
    </row>
    <row r="696">
      <c r="B696" s="103"/>
      <c r="C696" s="103"/>
      <c r="D696" s="103"/>
      <c r="H696" s="103"/>
      <c r="I696" s="103"/>
    </row>
    <row r="697">
      <c r="B697" s="103"/>
      <c r="C697" s="103"/>
      <c r="D697" s="103"/>
      <c r="H697" s="103"/>
      <c r="I697" s="103"/>
    </row>
    <row r="698">
      <c r="B698" s="103"/>
      <c r="C698" s="103"/>
      <c r="D698" s="103"/>
      <c r="H698" s="103"/>
      <c r="I698" s="103"/>
    </row>
    <row r="699">
      <c r="B699" s="103"/>
      <c r="C699" s="103"/>
      <c r="D699" s="103"/>
      <c r="H699" s="103"/>
      <c r="I699" s="103"/>
    </row>
    <row r="700">
      <c r="B700" s="103"/>
      <c r="C700" s="103"/>
      <c r="D700" s="103"/>
      <c r="H700" s="103"/>
      <c r="I700" s="103"/>
    </row>
    <row r="701">
      <c r="B701" s="103"/>
      <c r="C701" s="103"/>
      <c r="D701" s="103"/>
      <c r="H701" s="103"/>
      <c r="I701" s="103"/>
    </row>
    <row r="702">
      <c r="B702" s="103"/>
      <c r="C702" s="103"/>
      <c r="D702" s="103"/>
      <c r="H702" s="103"/>
      <c r="I702" s="103"/>
    </row>
    <row r="703">
      <c r="B703" s="103"/>
      <c r="C703" s="103"/>
      <c r="D703" s="103"/>
      <c r="H703" s="103"/>
      <c r="I703" s="103"/>
    </row>
    <row r="704">
      <c r="B704" s="103"/>
      <c r="C704" s="103"/>
      <c r="D704" s="103"/>
      <c r="H704" s="103"/>
      <c r="I704" s="103"/>
    </row>
    <row r="705">
      <c r="B705" s="103"/>
      <c r="C705" s="103"/>
      <c r="D705" s="103"/>
      <c r="H705" s="103"/>
      <c r="I705" s="103"/>
    </row>
    <row r="706">
      <c r="B706" s="103"/>
      <c r="C706" s="103"/>
      <c r="D706" s="103"/>
      <c r="H706" s="103"/>
      <c r="I706" s="103"/>
    </row>
    <row r="707">
      <c r="B707" s="103"/>
      <c r="C707" s="103"/>
      <c r="D707" s="103"/>
      <c r="H707" s="103"/>
      <c r="I707" s="103"/>
    </row>
    <row r="708">
      <c r="B708" s="103"/>
      <c r="C708" s="103"/>
      <c r="D708" s="103"/>
      <c r="H708" s="103"/>
      <c r="I708" s="103"/>
    </row>
    <row r="709">
      <c r="B709" s="103"/>
      <c r="C709" s="103"/>
      <c r="D709" s="103"/>
      <c r="H709" s="103"/>
      <c r="I709" s="103"/>
    </row>
    <row r="710">
      <c r="B710" s="103"/>
      <c r="C710" s="103"/>
      <c r="D710" s="103"/>
      <c r="H710" s="103"/>
      <c r="I710" s="103"/>
    </row>
    <row r="711">
      <c r="B711" s="103"/>
      <c r="C711" s="103"/>
      <c r="D711" s="103"/>
      <c r="H711" s="103"/>
      <c r="I711" s="103"/>
    </row>
    <row r="712">
      <c r="B712" s="103"/>
      <c r="C712" s="103"/>
      <c r="D712" s="103"/>
      <c r="H712" s="103"/>
      <c r="I712" s="103"/>
    </row>
    <row r="713">
      <c r="B713" s="103"/>
      <c r="C713" s="103"/>
      <c r="D713" s="103"/>
      <c r="H713" s="103"/>
      <c r="I713" s="103"/>
    </row>
    <row r="714">
      <c r="B714" s="103"/>
      <c r="C714" s="103"/>
      <c r="D714" s="103"/>
      <c r="H714" s="103"/>
      <c r="I714" s="103"/>
    </row>
    <row r="715">
      <c r="B715" s="103"/>
      <c r="C715" s="103"/>
      <c r="D715" s="103"/>
      <c r="H715" s="103"/>
      <c r="I715" s="103"/>
    </row>
    <row r="716">
      <c r="B716" s="103"/>
      <c r="C716" s="103"/>
      <c r="D716" s="103"/>
      <c r="H716" s="103"/>
      <c r="I716" s="103"/>
    </row>
    <row r="717">
      <c r="B717" s="103"/>
      <c r="C717" s="103"/>
      <c r="D717" s="103"/>
      <c r="H717" s="103"/>
      <c r="I717" s="103"/>
    </row>
    <row r="718">
      <c r="B718" s="103"/>
      <c r="C718" s="103"/>
      <c r="D718" s="103"/>
      <c r="H718" s="103"/>
      <c r="I718" s="103"/>
    </row>
    <row r="719">
      <c r="B719" s="103"/>
      <c r="C719" s="103"/>
      <c r="D719" s="103"/>
      <c r="H719" s="103"/>
      <c r="I719" s="103"/>
    </row>
    <row r="720">
      <c r="B720" s="103"/>
      <c r="C720" s="103"/>
      <c r="D720" s="103"/>
      <c r="H720" s="103"/>
      <c r="I720" s="103"/>
    </row>
    <row r="721">
      <c r="B721" s="103"/>
      <c r="C721" s="103"/>
      <c r="D721" s="103"/>
      <c r="H721" s="103"/>
      <c r="I721" s="103"/>
    </row>
    <row r="722">
      <c r="B722" s="103"/>
      <c r="C722" s="103"/>
      <c r="D722" s="103"/>
      <c r="H722" s="103"/>
      <c r="I722" s="103"/>
    </row>
    <row r="723">
      <c r="B723" s="103"/>
      <c r="C723" s="103"/>
      <c r="D723" s="103"/>
      <c r="H723" s="103"/>
      <c r="I723" s="103"/>
    </row>
    <row r="724">
      <c r="B724" s="103"/>
      <c r="C724" s="103"/>
      <c r="D724" s="103"/>
      <c r="H724" s="103"/>
      <c r="I724" s="103"/>
    </row>
    <row r="725">
      <c r="B725" s="103"/>
      <c r="C725" s="103"/>
      <c r="D725" s="103"/>
      <c r="H725" s="103"/>
      <c r="I725" s="103"/>
    </row>
    <row r="726">
      <c r="B726" s="103"/>
      <c r="C726" s="103"/>
      <c r="D726" s="103"/>
      <c r="H726" s="103"/>
      <c r="I726" s="103"/>
    </row>
    <row r="727">
      <c r="B727" s="103"/>
      <c r="C727" s="103"/>
      <c r="D727" s="103"/>
      <c r="H727" s="103"/>
      <c r="I727" s="103"/>
    </row>
    <row r="728">
      <c r="B728" s="103"/>
      <c r="C728" s="103"/>
      <c r="D728" s="103"/>
      <c r="H728" s="103"/>
      <c r="I728" s="103"/>
    </row>
    <row r="729">
      <c r="B729" s="103"/>
      <c r="C729" s="103"/>
      <c r="D729" s="103"/>
      <c r="H729" s="103"/>
      <c r="I729" s="103"/>
    </row>
    <row r="730">
      <c r="B730" s="103"/>
      <c r="C730" s="103"/>
      <c r="D730" s="103"/>
      <c r="H730" s="103"/>
      <c r="I730" s="103"/>
    </row>
    <row r="731">
      <c r="B731" s="103"/>
      <c r="C731" s="103"/>
      <c r="D731" s="103"/>
      <c r="H731" s="103"/>
      <c r="I731" s="103"/>
    </row>
    <row r="732">
      <c r="B732" s="103"/>
      <c r="C732" s="103"/>
      <c r="D732" s="103"/>
      <c r="H732" s="103"/>
      <c r="I732" s="103"/>
    </row>
    <row r="733">
      <c r="B733" s="103"/>
      <c r="C733" s="103"/>
      <c r="D733" s="103"/>
      <c r="H733" s="103"/>
      <c r="I733" s="103"/>
    </row>
    <row r="734">
      <c r="B734" s="103"/>
      <c r="C734" s="103"/>
      <c r="D734" s="103"/>
      <c r="H734" s="103"/>
      <c r="I734" s="103"/>
    </row>
    <row r="735">
      <c r="B735" s="103"/>
      <c r="C735" s="103"/>
      <c r="D735" s="103"/>
      <c r="H735" s="103"/>
      <c r="I735" s="103"/>
    </row>
    <row r="736">
      <c r="B736" s="103"/>
      <c r="C736" s="103"/>
      <c r="D736" s="103"/>
      <c r="H736" s="103"/>
      <c r="I736" s="103"/>
    </row>
    <row r="737">
      <c r="B737" s="103"/>
      <c r="C737" s="103"/>
      <c r="D737" s="103"/>
      <c r="H737" s="103"/>
      <c r="I737" s="103"/>
    </row>
    <row r="738">
      <c r="B738" s="103"/>
      <c r="C738" s="103"/>
      <c r="D738" s="103"/>
      <c r="H738" s="103"/>
      <c r="I738" s="103"/>
    </row>
    <row r="739">
      <c r="B739" s="103"/>
      <c r="C739" s="103"/>
      <c r="D739" s="103"/>
      <c r="H739" s="103"/>
      <c r="I739" s="103"/>
    </row>
    <row r="740">
      <c r="B740" s="103"/>
      <c r="C740" s="103"/>
      <c r="D740" s="103"/>
      <c r="H740" s="103"/>
      <c r="I740" s="103"/>
    </row>
    <row r="741">
      <c r="B741" s="103"/>
      <c r="C741" s="103"/>
      <c r="D741" s="103"/>
      <c r="H741" s="103"/>
      <c r="I741" s="103"/>
    </row>
    <row r="742">
      <c r="B742" s="103"/>
      <c r="C742" s="103"/>
      <c r="D742" s="103"/>
      <c r="H742" s="103"/>
      <c r="I742" s="103"/>
    </row>
    <row r="743">
      <c r="B743" s="103"/>
      <c r="C743" s="103"/>
      <c r="D743" s="103"/>
      <c r="H743" s="103"/>
      <c r="I743" s="103"/>
    </row>
    <row r="744">
      <c r="B744" s="103"/>
      <c r="C744" s="103"/>
      <c r="D744" s="103"/>
      <c r="H744" s="103"/>
      <c r="I744" s="103"/>
    </row>
    <row r="745">
      <c r="B745" s="103"/>
      <c r="C745" s="103"/>
      <c r="D745" s="103"/>
      <c r="H745" s="103"/>
      <c r="I745" s="103"/>
    </row>
    <row r="746">
      <c r="B746" s="103"/>
      <c r="C746" s="103"/>
      <c r="D746" s="103"/>
      <c r="H746" s="103"/>
      <c r="I746" s="103"/>
    </row>
    <row r="747">
      <c r="B747" s="103"/>
      <c r="C747" s="103"/>
      <c r="D747" s="103"/>
      <c r="H747" s="103"/>
      <c r="I747" s="103"/>
    </row>
    <row r="748">
      <c r="B748" s="103"/>
      <c r="C748" s="103"/>
      <c r="D748" s="103"/>
      <c r="H748" s="103"/>
      <c r="I748" s="103"/>
    </row>
    <row r="749">
      <c r="B749" s="103"/>
      <c r="C749" s="103"/>
      <c r="D749" s="103"/>
      <c r="H749" s="103"/>
      <c r="I749" s="103"/>
    </row>
    <row r="750">
      <c r="B750" s="103"/>
      <c r="C750" s="103"/>
      <c r="D750" s="103"/>
      <c r="H750" s="103"/>
      <c r="I750" s="103"/>
    </row>
    <row r="751">
      <c r="B751" s="103"/>
      <c r="C751" s="103"/>
      <c r="D751" s="103"/>
      <c r="H751" s="103"/>
      <c r="I751" s="103"/>
    </row>
    <row r="752">
      <c r="B752" s="103"/>
      <c r="C752" s="103"/>
      <c r="D752" s="103"/>
      <c r="H752" s="103"/>
      <c r="I752" s="103"/>
    </row>
    <row r="753">
      <c r="B753" s="103"/>
      <c r="C753" s="103"/>
      <c r="D753" s="103"/>
      <c r="H753" s="103"/>
      <c r="I753" s="103"/>
    </row>
    <row r="754">
      <c r="B754" s="103"/>
      <c r="C754" s="103"/>
      <c r="D754" s="103"/>
      <c r="H754" s="103"/>
      <c r="I754" s="103"/>
    </row>
    <row r="755">
      <c r="B755" s="103"/>
      <c r="C755" s="103"/>
      <c r="D755" s="103"/>
      <c r="H755" s="103"/>
      <c r="I755" s="103"/>
    </row>
    <row r="756">
      <c r="B756" s="103"/>
      <c r="C756" s="103"/>
      <c r="D756" s="103"/>
      <c r="H756" s="103"/>
      <c r="I756" s="103"/>
    </row>
    <row r="757">
      <c r="B757" s="103"/>
      <c r="C757" s="103"/>
      <c r="D757" s="103"/>
      <c r="H757" s="103"/>
      <c r="I757" s="103"/>
    </row>
    <row r="758">
      <c r="B758" s="103"/>
      <c r="C758" s="103"/>
      <c r="D758" s="103"/>
      <c r="H758" s="103"/>
      <c r="I758" s="103"/>
    </row>
    <row r="759">
      <c r="B759" s="103"/>
      <c r="C759" s="103"/>
      <c r="D759" s="103"/>
      <c r="H759" s="103"/>
      <c r="I759" s="103"/>
    </row>
    <row r="760">
      <c r="B760" s="103"/>
      <c r="C760" s="103"/>
      <c r="D760" s="103"/>
      <c r="H760" s="103"/>
      <c r="I760" s="103"/>
    </row>
    <row r="761">
      <c r="B761" s="103"/>
      <c r="C761" s="103"/>
      <c r="D761" s="103"/>
      <c r="H761" s="103"/>
      <c r="I761" s="103"/>
    </row>
    <row r="762">
      <c r="B762" s="103"/>
      <c r="C762" s="103"/>
      <c r="D762" s="103"/>
      <c r="H762" s="103"/>
      <c r="I762" s="103"/>
    </row>
    <row r="763">
      <c r="B763" s="103"/>
      <c r="C763" s="103"/>
      <c r="D763" s="103"/>
      <c r="H763" s="103"/>
      <c r="I763" s="103"/>
    </row>
    <row r="764">
      <c r="B764" s="103"/>
      <c r="C764" s="103"/>
      <c r="D764" s="103"/>
      <c r="H764" s="103"/>
      <c r="I764" s="103"/>
    </row>
    <row r="765">
      <c r="B765" s="103"/>
      <c r="C765" s="103"/>
      <c r="D765" s="103"/>
      <c r="H765" s="103"/>
      <c r="I765" s="103"/>
    </row>
    <row r="766">
      <c r="B766" s="103"/>
      <c r="C766" s="103"/>
      <c r="D766" s="103"/>
      <c r="H766" s="103"/>
      <c r="I766" s="103"/>
    </row>
    <row r="767">
      <c r="B767" s="103"/>
      <c r="C767" s="103"/>
      <c r="D767" s="103"/>
      <c r="H767" s="103"/>
      <c r="I767" s="103"/>
    </row>
    <row r="768">
      <c r="B768" s="103"/>
      <c r="C768" s="103"/>
      <c r="D768" s="103"/>
      <c r="H768" s="103"/>
      <c r="I768" s="103"/>
    </row>
    <row r="769">
      <c r="B769" s="103"/>
      <c r="C769" s="103"/>
      <c r="D769" s="103"/>
      <c r="H769" s="103"/>
      <c r="I769" s="103"/>
    </row>
    <row r="770">
      <c r="B770" s="103"/>
      <c r="C770" s="103"/>
      <c r="D770" s="103"/>
      <c r="H770" s="103"/>
      <c r="I770" s="103"/>
    </row>
    <row r="771">
      <c r="B771" s="103"/>
      <c r="C771" s="103"/>
      <c r="D771" s="103"/>
      <c r="H771" s="103"/>
      <c r="I771" s="103"/>
    </row>
    <row r="772">
      <c r="B772" s="103"/>
      <c r="C772" s="103"/>
      <c r="D772" s="103"/>
      <c r="H772" s="103"/>
      <c r="I772" s="103"/>
    </row>
    <row r="773">
      <c r="B773" s="103"/>
      <c r="C773" s="103"/>
      <c r="D773" s="103"/>
      <c r="H773" s="103"/>
      <c r="I773" s="103"/>
    </row>
    <row r="774">
      <c r="B774" s="103"/>
      <c r="C774" s="103"/>
      <c r="D774" s="103"/>
      <c r="H774" s="103"/>
      <c r="I774" s="103"/>
    </row>
    <row r="775">
      <c r="B775" s="103"/>
      <c r="C775" s="103"/>
      <c r="D775" s="103"/>
      <c r="H775" s="103"/>
      <c r="I775" s="103"/>
    </row>
    <row r="776">
      <c r="B776" s="103"/>
      <c r="C776" s="103"/>
      <c r="D776" s="103"/>
      <c r="H776" s="103"/>
      <c r="I776" s="103"/>
    </row>
    <row r="777">
      <c r="B777" s="103"/>
      <c r="C777" s="103"/>
      <c r="D777" s="103"/>
      <c r="H777" s="103"/>
      <c r="I777" s="103"/>
    </row>
    <row r="778">
      <c r="B778" s="103"/>
      <c r="C778" s="103"/>
      <c r="D778" s="103"/>
      <c r="H778" s="103"/>
      <c r="I778" s="103"/>
    </row>
    <row r="779">
      <c r="B779" s="103"/>
      <c r="C779" s="103"/>
      <c r="D779" s="103"/>
      <c r="H779" s="103"/>
      <c r="I779" s="103"/>
    </row>
    <row r="780">
      <c r="B780" s="103"/>
      <c r="C780" s="103"/>
      <c r="D780" s="103"/>
      <c r="H780" s="103"/>
      <c r="I780" s="103"/>
    </row>
    <row r="781">
      <c r="B781" s="103"/>
      <c r="C781" s="103"/>
      <c r="D781" s="103"/>
      <c r="H781" s="103"/>
      <c r="I781" s="103"/>
    </row>
    <row r="782">
      <c r="B782" s="103"/>
      <c r="C782" s="103"/>
      <c r="D782" s="103"/>
      <c r="H782" s="103"/>
      <c r="I782" s="103"/>
    </row>
    <row r="783">
      <c r="B783" s="103"/>
      <c r="C783" s="103"/>
      <c r="D783" s="103"/>
      <c r="H783" s="103"/>
      <c r="I783" s="103"/>
    </row>
    <row r="784">
      <c r="B784" s="103"/>
      <c r="C784" s="103"/>
      <c r="D784" s="103"/>
      <c r="H784" s="103"/>
      <c r="I784" s="103"/>
    </row>
    <row r="785">
      <c r="B785" s="103"/>
      <c r="C785" s="103"/>
      <c r="D785" s="103"/>
      <c r="H785" s="103"/>
      <c r="I785" s="103"/>
    </row>
    <row r="786">
      <c r="B786" s="103"/>
      <c r="C786" s="103"/>
      <c r="D786" s="103"/>
      <c r="H786" s="103"/>
      <c r="I786" s="103"/>
    </row>
    <row r="787">
      <c r="B787" s="103"/>
      <c r="C787" s="103"/>
      <c r="D787" s="103"/>
      <c r="H787" s="103"/>
      <c r="I787" s="103"/>
    </row>
    <row r="788">
      <c r="B788" s="103"/>
      <c r="C788" s="103"/>
      <c r="D788" s="103"/>
      <c r="H788" s="103"/>
      <c r="I788" s="103"/>
    </row>
    <row r="789">
      <c r="B789" s="103"/>
      <c r="C789" s="103"/>
      <c r="D789" s="103"/>
      <c r="H789" s="103"/>
      <c r="I789" s="103"/>
    </row>
    <row r="790">
      <c r="B790" s="103"/>
      <c r="C790" s="103"/>
      <c r="D790" s="103"/>
      <c r="H790" s="103"/>
      <c r="I790" s="103"/>
    </row>
    <row r="791">
      <c r="B791" s="103"/>
      <c r="C791" s="103"/>
      <c r="D791" s="103"/>
      <c r="H791" s="103"/>
      <c r="I791" s="103"/>
    </row>
    <row r="792">
      <c r="B792" s="103"/>
      <c r="C792" s="103"/>
      <c r="D792" s="103"/>
      <c r="H792" s="103"/>
      <c r="I792" s="103"/>
    </row>
    <row r="793">
      <c r="B793" s="103"/>
      <c r="C793" s="103"/>
      <c r="D793" s="103"/>
      <c r="H793" s="103"/>
      <c r="I793" s="103"/>
    </row>
    <row r="794">
      <c r="B794" s="103"/>
      <c r="C794" s="103"/>
      <c r="D794" s="103"/>
      <c r="H794" s="103"/>
      <c r="I794" s="103"/>
    </row>
    <row r="795">
      <c r="B795" s="103"/>
      <c r="C795" s="103"/>
      <c r="D795" s="103"/>
      <c r="H795" s="103"/>
      <c r="I795" s="103"/>
    </row>
    <row r="796">
      <c r="B796" s="103"/>
      <c r="C796" s="103"/>
      <c r="D796" s="103"/>
      <c r="H796" s="103"/>
      <c r="I796" s="103"/>
    </row>
    <row r="797">
      <c r="B797" s="103"/>
      <c r="C797" s="103"/>
      <c r="D797" s="103"/>
      <c r="H797" s="103"/>
      <c r="I797" s="103"/>
    </row>
    <row r="798">
      <c r="B798" s="103"/>
      <c r="C798" s="103"/>
      <c r="D798" s="103"/>
      <c r="H798" s="103"/>
      <c r="I798" s="103"/>
    </row>
    <row r="799">
      <c r="B799" s="103"/>
      <c r="C799" s="103"/>
      <c r="D799" s="103"/>
      <c r="H799" s="103"/>
      <c r="I799" s="103"/>
    </row>
    <row r="800">
      <c r="B800" s="103"/>
      <c r="C800" s="103"/>
      <c r="D800" s="103"/>
      <c r="H800" s="103"/>
      <c r="I800" s="103"/>
    </row>
    <row r="801">
      <c r="B801" s="103"/>
      <c r="C801" s="103"/>
      <c r="D801" s="103"/>
      <c r="H801" s="103"/>
      <c r="I801" s="103"/>
    </row>
    <row r="802">
      <c r="B802" s="103"/>
      <c r="C802" s="103"/>
      <c r="D802" s="103"/>
      <c r="H802" s="103"/>
      <c r="I802" s="103"/>
    </row>
    <row r="803">
      <c r="B803" s="103"/>
      <c r="C803" s="103"/>
      <c r="D803" s="103"/>
      <c r="H803" s="103"/>
      <c r="I803" s="103"/>
    </row>
    <row r="804">
      <c r="B804" s="103"/>
      <c r="C804" s="103"/>
      <c r="D804" s="103"/>
      <c r="H804" s="103"/>
      <c r="I804" s="103"/>
    </row>
    <row r="805">
      <c r="B805" s="103"/>
      <c r="C805" s="103"/>
      <c r="D805" s="103"/>
      <c r="H805" s="103"/>
      <c r="I805" s="103"/>
    </row>
    <row r="806">
      <c r="B806" s="103"/>
      <c r="C806" s="103"/>
      <c r="D806" s="103"/>
      <c r="H806" s="103"/>
      <c r="I806" s="103"/>
    </row>
    <row r="807">
      <c r="B807" s="103"/>
      <c r="C807" s="103"/>
      <c r="D807" s="103"/>
      <c r="H807" s="103"/>
      <c r="I807" s="103"/>
    </row>
    <row r="808">
      <c r="B808" s="103"/>
      <c r="C808" s="103"/>
      <c r="D808" s="103"/>
      <c r="H808" s="103"/>
      <c r="I808" s="103"/>
    </row>
    <row r="809">
      <c r="B809" s="103"/>
      <c r="C809" s="103"/>
      <c r="D809" s="103"/>
      <c r="H809" s="103"/>
      <c r="I809" s="103"/>
    </row>
    <row r="810">
      <c r="B810" s="103"/>
      <c r="C810" s="103"/>
      <c r="D810" s="103"/>
      <c r="H810" s="103"/>
      <c r="I810" s="103"/>
    </row>
    <row r="811">
      <c r="B811" s="103"/>
      <c r="C811" s="103"/>
      <c r="D811" s="103"/>
      <c r="H811" s="103"/>
      <c r="I811" s="103"/>
    </row>
    <row r="812">
      <c r="B812" s="103"/>
      <c r="C812" s="103"/>
      <c r="D812" s="103"/>
      <c r="H812" s="103"/>
      <c r="I812" s="103"/>
    </row>
    <row r="813">
      <c r="B813" s="103"/>
      <c r="C813" s="103"/>
      <c r="D813" s="103"/>
      <c r="H813" s="103"/>
      <c r="I813" s="103"/>
    </row>
    <row r="814">
      <c r="B814" s="103"/>
      <c r="C814" s="103"/>
      <c r="D814" s="103"/>
      <c r="H814" s="103"/>
      <c r="I814" s="103"/>
    </row>
    <row r="815">
      <c r="B815" s="103"/>
      <c r="C815" s="103"/>
      <c r="D815" s="103"/>
      <c r="H815" s="103"/>
      <c r="I815" s="103"/>
    </row>
    <row r="816">
      <c r="B816" s="103"/>
      <c r="C816" s="103"/>
      <c r="D816" s="103"/>
      <c r="H816" s="103"/>
      <c r="I816" s="103"/>
    </row>
    <row r="817">
      <c r="B817" s="103"/>
      <c r="C817" s="103"/>
      <c r="D817" s="103"/>
      <c r="H817" s="103"/>
      <c r="I817" s="103"/>
    </row>
    <row r="818">
      <c r="B818" s="103"/>
      <c r="C818" s="103"/>
      <c r="D818" s="103"/>
      <c r="H818" s="103"/>
      <c r="I818" s="103"/>
    </row>
    <row r="819">
      <c r="B819" s="103"/>
      <c r="C819" s="103"/>
      <c r="D819" s="103"/>
      <c r="H819" s="103"/>
      <c r="I819" s="103"/>
    </row>
    <row r="820">
      <c r="B820" s="103"/>
      <c r="C820" s="103"/>
      <c r="D820" s="103"/>
      <c r="H820" s="103"/>
      <c r="I820" s="103"/>
    </row>
    <row r="821">
      <c r="B821" s="103"/>
      <c r="C821" s="103"/>
      <c r="D821" s="103"/>
      <c r="H821" s="103"/>
      <c r="I821" s="103"/>
    </row>
    <row r="822">
      <c r="B822" s="103"/>
      <c r="C822" s="103"/>
      <c r="D822" s="103"/>
      <c r="H822" s="103"/>
      <c r="I822" s="103"/>
    </row>
    <row r="823">
      <c r="B823" s="103"/>
      <c r="C823" s="103"/>
      <c r="D823" s="103"/>
      <c r="H823" s="103"/>
      <c r="I823" s="103"/>
    </row>
    <row r="824">
      <c r="B824" s="103"/>
      <c r="C824" s="103"/>
      <c r="D824" s="103"/>
      <c r="H824" s="103"/>
      <c r="I824" s="103"/>
    </row>
    <row r="825">
      <c r="B825" s="103"/>
      <c r="C825" s="103"/>
      <c r="D825" s="103"/>
      <c r="H825" s="103"/>
      <c r="I825" s="103"/>
    </row>
    <row r="826">
      <c r="B826" s="103"/>
      <c r="C826" s="103"/>
      <c r="D826" s="103"/>
      <c r="H826" s="103"/>
      <c r="I826" s="103"/>
    </row>
    <row r="827">
      <c r="B827" s="103"/>
      <c r="C827" s="103"/>
      <c r="D827" s="103"/>
      <c r="H827" s="103"/>
      <c r="I827" s="103"/>
    </row>
    <row r="828">
      <c r="B828" s="103"/>
      <c r="C828" s="103"/>
      <c r="D828" s="103"/>
      <c r="H828" s="103"/>
      <c r="I828" s="103"/>
    </row>
    <row r="829">
      <c r="B829" s="103"/>
      <c r="C829" s="103"/>
      <c r="D829" s="103"/>
      <c r="H829" s="103"/>
      <c r="I829" s="103"/>
    </row>
    <row r="830">
      <c r="B830" s="103"/>
      <c r="C830" s="103"/>
      <c r="D830" s="103"/>
      <c r="H830" s="103"/>
      <c r="I830" s="103"/>
    </row>
    <row r="831">
      <c r="B831" s="103"/>
      <c r="C831" s="103"/>
      <c r="D831" s="103"/>
      <c r="H831" s="103"/>
      <c r="I831" s="103"/>
    </row>
    <row r="832">
      <c r="B832" s="103"/>
      <c r="C832" s="103"/>
      <c r="D832" s="103"/>
      <c r="H832" s="103"/>
      <c r="I832" s="103"/>
    </row>
    <row r="833">
      <c r="B833" s="103"/>
      <c r="C833" s="103"/>
      <c r="D833" s="103"/>
      <c r="H833" s="103"/>
      <c r="I833" s="103"/>
    </row>
    <row r="834">
      <c r="B834" s="103"/>
      <c r="C834" s="103"/>
      <c r="D834" s="103"/>
      <c r="H834" s="103"/>
      <c r="I834" s="103"/>
    </row>
    <row r="835">
      <c r="B835" s="103"/>
      <c r="C835" s="103"/>
      <c r="D835" s="103"/>
      <c r="H835" s="103"/>
      <c r="I835" s="103"/>
    </row>
    <row r="836">
      <c r="B836" s="103"/>
      <c r="C836" s="103"/>
      <c r="D836" s="103"/>
      <c r="H836" s="103"/>
      <c r="I836" s="103"/>
    </row>
    <row r="837">
      <c r="B837" s="103"/>
      <c r="C837" s="103"/>
      <c r="D837" s="103"/>
      <c r="H837" s="103"/>
      <c r="I837" s="103"/>
    </row>
    <row r="838">
      <c r="B838" s="103"/>
      <c r="C838" s="103"/>
      <c r="D838" s="103"/>
      <c r="H838" s="103"/>
      <c r="I838" s="103"/>
    </row>
    <row r="839">
      <c r="B839" s="103"/>
      <c r="C839" s="103"/>
      <c r="D839" s="103"/>
      <c r="H839" s="103"/>
      <c r="I839" s="103"/>
    </row>
    <row r="840">
      <c r="B840" s="103"/>
      <c r="C840" s="103"/>
      <c r="D840" s="103"/>
      <c r="H840" s="103"/>
      <c r="I840" s="103"/>
    </row>
    <row r="841">
      <c r="B841" s="103"/>
      <c r="C841" s="103"/>
      <c r="D841" s="103"/>
      <c r="H841" s="103"/>
      <c r="I841" s="103"/>
    </row>
    <row r="842">
      <c r="B842" s="103"/>
      <c r="C842" s="103"/>
      <c r="D842" s="103"/>
      <c r="H842" s="103"/>
      <c r="I842" s="103"/>
    </row>
    <row r="843">
      <c r="B843" s="103"/>
      <c r="C843" s="103"/>
      <c r="D843" s="103"/>
      <c r="H843" s="103"/>
      <c r="I843" s="103"/>
    </row>
    <row r="844">
      <c r="B844" s="103"/>
      <c r="C844" s="103"/>
      <c r="D844" s="103"/>
      <c r="H844" s="103"/>
      <c r="I844" s="103"/>
    </row>
    <row r="845">
      <c r="B845" s="103"/>
      <c r="C845" s="103"/>
      <c r="D845" s="103"/>
      <c r="H845" s="103"/>
      <c r="I845" s="103"/>
    </row>
    <row r="846">
      <c r="B846" s="103"/>
      <c r="C846" s="103"/>
      <c r="D846" s="103"/>
      <c r="H846" s="103"/>
      <c r="I846" s="103"/>
    </row>
    <row r="847">
      <c r="B847" s="103"/>
      <c r="C847" s="103"/>
      <c r="D847" s="103"/>
      <c r="H847" s="103"/>
      <c r="I847" s="103"/>
    </row>
    <row r="848">
      <c r="B848" s="103"/>
      <c r="C848" s="103"/>
      <c r="D848" s="103"/>
      <c r="H848" s="103"/>
      <c r="I848" s="103"/>
    </row>
    <row r="849">
      <c r="B849" s="103"/>
      <c r="C849" s="103"/>
      <c r="D849" s="103"/>
      <c r="H849" s="103"/>
      <c r="I849" s="103"/>
    </row>
    <row r="850">
      <c r="B850" s="103"/>
      <c r="C850" s="103"/>
      <c r="D850" s="103"/>
      <c r="H850" s="103"/>
      <c r="I850" s="103"/>
    </row>
    <row r="851">
      <c r="B851" s="103"/>
      <c r="C851" s="103"/>
      <c r="D851" s="103"/>
      <c r="H851" s="103"/>
      <c r="I851" s="103"/>
    </row>
    <row r="852">
      <c r="B852" s="103"/>
      <c r="C852" s="103"/>
      <c r="D852" s="103"/>
      <c r="H852" s="103"/>
      <c r="I852" s="103"/>
    </row>
    <row r="853">
      <c r="B853" s="103"/>
      <c r="C853" s="103"/>
      <c r="D853" s="103"/>
      <c r="H853" s="103"/>
      <c r="I853" s="103"/>
    </row>
    <row r="854">
      <c r="B854" s="103"/>
      <c r="C854" s="103"/>
      <c r="D854" s="103"/>
      <c r="H854" s="103"/>
      <c r="I854" s="103"/>
    </row>
    <row r="855">
      <c r="B855" s="103"/>
      <c r="C855" s="103"/>
      <c r="D855" s="103"/>
      <c r="H855" s="103"/>
      <c r="I855" s="103"/>
    </row>
    <row r="856">
      <c r="B856" s="103"/>
      <c r="C856" s="103"/>
      <c r="D856" s="103"/>
      <c r="H856" s="103"/>
      <c r="I856" s="103"/>
    </row>
    <row r="857">
      <c r="B857" s="103"/>
      <c r="C857" s="103"/>
      <c r="D857" s="103"/>
      <c r="H857" s="103"/>
      <c r="I857" s="103"/>
    </row>
    <row r="858">
      <c r="B858" s="103"/>
      <c r="C858" s="103"/>
      <c r="D858" s="103"/>
      <c r="H858" s="103"/>
      <c r="I858" s="103"/>
    </row>
    <row r="859">
      <c r="B859" s="103"/>
      <c r="C859" s="103"/>
      <c r="D859" s="103"/>
      <c r="H859" s="103"/>
      <c r="I859" s="103"/>
    </row>
    <row r="860">
      <c r="B860" s="103"/>
      <c r="C860" s="103"/>
      <c r="D860" s="103"/>
      <c r="H860" s="103"/>
      <c r="I860" s="103"/>
    </row>
    <row r="861">
      <c r="B861" s="103"/>
      <c r="C861" s="103"/>
      <c r="D861" s="103"/>
      <c r="H861" s="103"/>
      <c r="I861" s="103"/>
    </row>
    <row r="862">
      <c r="B862" s="103"/>
      <c r="C862" s="103"/>
      <c r="D862" s="103"/>
      <c r="H862" s="103"/>
      <c r="I862" s="103"/>
    </row>
    <row r="863">
      <c r="B863" s="103"/>
      <c r="C863" s="103"/>
      <c r="D863" s="103"/>
      <c r="H863" s="103"/>
      <c r="I863" s="103"/>
    </row>
    <row r="864">
      <c r="B864" s="103"/>
      <c r="C864" s="103"/>
      <c r="D864" s="103"/>
      <c r="H864" s="103"/>
      <c r="I864" s="103"/>
    </row>
    <row r="865">
      <c r="B865" s="103"/>
      <c r="C865" s="103"/>
      <c r="D865" s="103"/>
      <c r="H865" s="103"/>
      <c r="I865" s="103"/>
    </row>
    <row r="866">
      <c r="B866" s="103"/>
      <c r="C866" s="103"/>
      <c r="D866" s="103"/>
      <c r="H866" s="103"/>
      <c r="I866" s="103"/>
    </row>
    <row r="867">
      <c r="B867" s="103"/>
      <c r="C867" s="103"/>
      <c r="D867" s="103"/>
      <c r="H867" s="103"/>
      <c r="I867" s="103"/>
    </row>
    <row r="868">
      <c r="B868" s="103"/>
      <c r="C868" s="103"/>
      <c r="D868" s="103"/>
      <c r="H868" s="103"/>
      <c r="I868" s="103"/>
    </row>
    <row r="869">
      <c r="B869" s="103"/>
      <c r="C869" s="103"/>
      <c r="D869" s="103"/>
      <c r="H869" s="103"/>
      <c r="I869" s="103"/>
    </row>
    <row r="870">
      <c r="B870" s="103"/>
      <c r="C870" s="103"/>
      <c r="D870" s="103"/>
      <c r="H870" s="103"/>
      <c r="I870" s="103"/>
    </row>
    <row r="871">
      <c r="B871" s="103"/>
      <c r="C871" s="103"/>
      <c r="D871" s="103"/>
      <c r="H871" s="103"/>
      <c r="I871" s="103"/>
    </row>
    <row r="872">
      <c r="B872" s="103"/>
      <c r="C872" s="103"/>
      <c r="D872" s="103"/>
      <c r="H872" s="103"/>
      <c r="I872" s="103"/>
    </row>
    <row r="873">
      <c r="B873" s="103"/>
      <c r="C873" s="103"/>
      <c r="D873" s="103"/>
      <c r="H873" s="103"/>
      <c r="I873" s="103"/>
    </row>
    <row r="874">
      <c r="B874" s="103"/>
      <c r="C874" s="103"/>
      <c r="D874" s="103"/>
      <c r="H874" s="103"/>
      <c r="I874" s="103"/>
    </row>
    <row r="875">
      <c r="B875" s="103"/>
      <c r="C875" s="103"/>
      <c r="D875" s="103"/>
      <c r="H875" s="103"/>
      <c r="I875" s="103"/>
    </row>
    <row r="876">
      <c r="B876" s="103"/>
      <c r="C876" s="103"/>
      <c r="D876" s="103"/>
      <c r="H876" s="103"/>
      <c r="I876" s="103"/>
    </row>
    <row r="877">
      <c r="B877" s="103"/>
      <c r="C877" s="103"/>
      <c r="D877" s="103"/>
      <c r="H877" s="103"/>
      <c r="I877" s="103"/>
    </row>
    <row r="878">
      <c r="B878" s="103"/>
      <c r="C878" s="103"/>
      <c r="D878" s="103"/>
      <c r="H878" s="103"/>
      <c r="I878" s="103"/>
    </row>
    <row r="879">
      <c r="B879" s="103"/>
      <c r="C879" s="103"/>
      <c r="D879" s="103"/>
      <c r="H879" s="103"/>
      <c r="I879" s="103"/>
    </row>
    <row r="880">
      <c r="B880" s="103"/>
      <c r="C880" s="103"/>
      <c r="D880" s="103"/>
      <c r="H880" s="103"/>
      <c r="I880" s="103"/>
    </row>
    <row r="881">
      <c r="B881" s="103"/>
      <c r="C881" s="103"/>
      <c r="D881" s="103"/>
      <c r="H881" s="103"/>
      <c r="I881" s="103"/>
    </row>
    <row r="882">
      <c r="B882" s="103"/>
      <c r="C882" s="103"/>
      <c r="D882" s="103"/>
      <c r="H882" s="103"/>
      <c r="I882" s="103"/>
    </row>
    <row r="883">
      <c r="B883" s="103"/>
      <c r="C883" s="103"/>
      <c r="D883" s="103"/>
      <c r="H883" s="103"/>
      <c r="I883" s="103"/>
    </row>
    <row r="884">
      <c r="B884" s="103"/>
      <c r="C884" s="103"/>
      <c r="D884" s="103"/>
      <c r="H884" s="103"/>
      <c r="I884" s="103"/>
    </row>
    <row r="885">
      <c r="B885" s="103"/>
      <c r="C885" s="103"/>
      <c r="D885" s="103"/>
      <c r="H885" s="103"/>
      <c r="I885" s="103"/>
    </row>
    <row r="886">
      <c r="B886" s="103"/>
      <c r="C886" s="103"/>
      <c r="D886" s="103"/>
      <c r="H886" s="103"/>
      <c r="I886" s="103"/>
    </row>
    <row r="887">
      <c r="B887" s="103"/>
      <c r="C887" s="103"/>
      <c r="D887" s="103"/>
      <c r="H887" s="103"/>
      <c r="I887" s="103"/>
    </row>
    <row r="888">
      <c r="B888" s="103"/>
      <c r="C888" s="103"/>
      <c r="D888" s="103"/>
      <c r="H888" s="103"/>
      <c r="I888" s="103"/>
    </row>
    <row r="889">
      <c r="B889" s="103"/>
      <c r="C889" s="103"/>
      <c r="D889" s="103"/>
      <c r="H889" s="103"/>
      <c r="I889" s="103"/>
    </row>
    <row r="890">
      <c r="B890" s="103"/>
      <c r="C890" s="103"/>
      <c r="D890" s="103"/>
      <c r="H890" s="103"/>
      <c r="I890" s="103"/>
    </row>
    <row r="891">
      <c r="B891" s="103"/>
      <c r="C891" s="103"/>
      <c r="D891" s="103"/>
      <c r="H891" s="103"/>
      <c r="I891" s="103"/>
    </row>
    <row r="892">
      <c r="B892" s="103"/>
      <c r="C892" s="103"/>
      <c r="D892" s="103"/>
      <c r="H892" s="103"/>
      <c r="I892" s="103"/>
    </row>
    <row r="893">
      <c r="B893" s="103"/>
      <c r="C893" s="103"/>
      <c r="D893" s="103"/>
      <c r="H893" s="103"/>
      <c r="I893" s="103"/>
    </row>
    <row r="894">
      <c r="B894" s="103"/>
      <c r="C894" s="103"/>
      <c r="D894" s="103"/>
      <c r="H894" s="103"/>
      <c r="I894" s="103"/>
    </row>
    <row r="895">
      <c r="B895" s="103"/>
      <c r="C895" s="103"/>
      <c r="D895" s="103"/>
      <c r="H895" s="103"/>
      <c r="I895" s="103"/>
    </row>
    <row r="896">
      <c r="B896" s="103"/>
      <c r="C896" s="103"/>
      <c r="D896" s="103"/>
      <c r="H896" s="103"/>
      <c r="I896" s="103"/>
    </row>
    <row r="897">
      <c r="B897" s="103"/>
      <c r="C897" s="103"/>
      <c r="D897" s="103"/>
      <c r="H897" s="103"/>
      <c r="I897" s="103"/>
    </row>
    <row r="898">
      <c r="B898" s="103"/>
      <c r="C898" s="103"/>
      <c r="D898" s="103"/>
      <c r="H898" s="103"/>
      <c r="I898" s="103"/>
    </row>
    <row r="899">
      <c r="B899" s="103"/>
      <c r="C899" s="103"/>
      <c r="D899" s="103"/>
      <c r="H899" s="103"/>
      <c r="I899" s="103"/>
    </row>
    <row r="900">
      <c r="B900" s="103"/>
      <c r="C900" s="103"/>
      <c r="D900" s="103"/>
      <c r="H900" s="103"/>
      <c r="I900" s="103"/>
    </row>
    <row r="901">
      <c r="B901" s="103"/>
      <c r="C901" s="103"/>
      <c r="D901" s="103"/>
      <c r="H901" s="103"/>
      <c r="I901" s="103"/>
    </row>
    <row r="902">
      <c r="B902" s="103"/>
      <c r="C902" s="103"/>
      <c r="D902" s="103"/>
      <c r="H902" s="103"/>
      <c r="I902" s="103"/>
    </row>
    <row r="903">
      <c r="B903" s="103"/>
      <c r="C903" s="103"/>
      <c r="D903" s="103"/>
      <c r="H903" s="103"/>
      <c r="I903" s="103"/>
    </row>
    <row r="904">
      <c r="B904" s="103"/>
      <c r="C904" s="103"/>
      <c r="D904" s="103"/>
      <c r="H904" s="103"/>
      <c r="I904" s="103"/>
    </row>
    <row r="905">
      <c r="B905" s="103"/>
      <c r="C905" s="103"/>
      <c r="D905" s="103"/>
      <c r="H905" s="103"/>
      <c r="I905" s="103"/>
    </row>
    <row r="906">
      <c r="B906" s="103"/>
      <c r="C906" s="103"/>
      <c r="D906" s="103"/>
      <c r="H906" s="103"/>
      <c r="I906" s="103"/>
    </row>
    <row r="907">
      <c r="B907" s="103"/>
      <c r="C907" s="103"/>
      <c r="D907" s="103"/>
      <c r="H907" s="103"/>
      <c r="I907" s="103"/>
    </row>
    <row r="908">
      <c r="B908" s="103"/>
      <c r="C908" s="103"/>
      <c r="D908" s="103"/>
      <c r="H908" s="103"/>
      <c r="I908" s="103"/>
    </row>
    <row r="909">
      <c r="B909" s="103"/>
      <c r="C909" s="103"/>
      <c r="D909" s="103"/>
      <c r="H909" s="103"/>
      <c r="I909" s="103"/>
    </row>
    <row r="910">
      <c r="B910" s="103"/>
      <c r="C910" s="103"/>
      <c r="D910" s="103"/>
      <c r="H910" s="103"/>
      <c r="I910" s="103"/>
    </row>
    <row r="911">
      <c r="B911" s="103"/>
      <c r="C911" s="103"/>
      <c r="D911" s="103"/>
      <c r="H911" s="103"/>
      <c r="I911" s="103"/>
    </row>
    <row r="912">
      <c r="B912" s="103"/>
      <c r="C912" s="103"/>
      <c r="D912" s="103"/>
      <c r="H912" s="103"/>
      <c r="I912" s="103"/>
    </row>
    <row r="913">
      <c r="B913" s="103"/>
      <c r="C913" s="103"/>
      <c r="D913" s="103"/>
      <c r="H913" s="103"/>
      <c r="I913" s="103"/>
    </row>
    <row r="914">
      <c r="B914" s="103"/>
      <c r="C914" s="103"/>
      <c r="D914" s="103"/>
      <c r="H914" s="103"/>
      <c r="I914" s="103"/>
    </row>
    <row r="915">
      <c r="B915" s="103"/>
      <c r="C915" s="103"/>
      <c r="D915" s="103"/>
      <c r="H915" s="103"/>
      <c r="I915" s="103"/>
    </row>
    <row r="916">
      <c r="B916" s="103"/>
      <c r="C916" s="103"/>
      <c r="D916" s="103"/>
      <c r="H916" s="103"/>
      <c r="I916" s="103"/>
    </row>
    <row r="917">
      <c r="B917" s="103"/>
      <c r="C917" s="103"/>
      <c r="D917" s="103"/>
      <c r="H917" s="103"/>
      <c r="I917" s="103"/>
    </row>
    <row r="918">
      <c r="B918" s="103"/>
      <c r="C918" s="103"/>
      <c r="D918" s="103"/>
      <c r="H918" s="103"/>
      <c r="I918" s="103"/>
    </row>
    <row r="919">
      <c r="B919" s="103"/>
      <c r="C919" s="103"/>
      <c r="D919" s="103"/>
      <c r="H919" s="103"/>
      <c r="I919" s="103"/>
    </row>
    <row r="920">
      <c r="B920" s="103"/>
      <c r="C920" s="103"/>
      <c r="D920" s="103"/>
      <c r="H920" s="103"/>
      <c r="I920" s="103"/>
    </row>
    <row r="921">
      <c r="B921" s="103"/>
      <c r="C921" s="103"/>
      <c r="D921" s="103"/>
      <c r="H921" s="103"/>
      <c r="I921" s="103"/>
    </row>
    <row r="922">
      <c r="B922" s="103"/>
      <c r="C922" s="103"/>
      <c r="D922" s="103"/>
      <c r="H922" s="103"/>
      <c r="I922" s="103"/>
    </row>
    <row r="923">
      <c r="B923" s="103"/>
      <c r="C923" s="103"/>
      <c r="D923" s="103"/>
      <c r="H923" s="103"/>
      <c r="I923" s="103"/>
    </row>
    <row r="924">
      <c r="B924" s="103"/>
      <c r="C924" s="103"/>
      <c r="D924" s="103"/>
      <c r="H924" s="103"/>
      <c r="I924" s="103"/>
    </row>
    <row r="925">
      <c r="B925" s="103"/>
      <c r="C925" s="103"/>
      <c r="D925" s="103"/>
      <c r="H925" s="103"/>
      <c r="I925" s="103"/>
    </row>
    <row r="926">
      <c r="B926" s="103"/>
      <c r="C926" s="103"/>
      <c r="D926" s="103"/>
      <c r="H926" s="103"/>
      <c r="I926" s="103"/>
    </row>
    <row r="927">
      <c r="B927" s="103"/>
      <c r="C927" s="103"/>
      <c r="D927" s="103"/>
      <c r="H927" s="103"/>
      <c r="I927" s="103"/>
    </row>
    <row r="928">
      <c r="B928" s="103"/>
      <c r="C928" s="103"/>
      <c r="D928" s="103"/>
      <c r="H928" s="103"/>
      <c r="I928" s="103"/>
    </row>
    <row r="929">
      <c r="B929" s="103"/>
      <c r="C929" s="103"/>
      <c r="D929" s="103"/>
      <c r="H929" s="103"/>
      <c r="I929" s="103"/>
    </row>
    <row r="930">
      <c r="B930" s="103"/>
      <c r="C930" s="103"/>
      <c r="D930" s="103"/>
      <c r="H930" s="103"/>
      <c r="I930" s="103"/>
    </row>
    <row r="931">
      <c r="B931" s="103"/>
      <c r="C931" s="103"/>
      <c r="D931" s="103"/>
      <c r="H931" s="103"/>
      <c r="I931" s="103"/>
    </row>
    <row r="932">
      <c r="B932" s="103"/>
      <c r="C932" s="103"/>
      <c r="D932" s="103"/>
      <c r="H932" s="103"/>
      <c r="I932" s="103"/>
    </row>
    <row r="933">
      <c r="B933" s="103"/>
      <c r="C933" s="103"/>
      <c r="D933" s="103"/>
      <c r="H933" s="103"/>
      <c r="I933" s="103"/>
    </row>
    <row r="934">
      <c r="B934" s="103"/>
      <c r="C934" s="103"/>
      <c r="D934" s="103"/>
      <c r="H934" s="103"/>
      <c r="I934" s="103"/>
    </row>
    <row r="935">
      <c r="B935" s="103"/>
      <c r="C935" s="103"/>
      <c r="D935" s="103"/>
      <c r="H935" s="103"/>
      <c r="I935" s="103"/>
    </row>
    <row r="936">
      <c r="B936" s="103"/>
      <c r="C936" s="103"/>
      <c r="D936" s="103"/>
      <c r="H936" s="103"/>
      <c r="I936" s="103"/>
    </row>
    <row r="937">
      <c r="B937" s="103"/>
      <c r="C937" s="103"/>
      <c r="D937" s="103"/>
      <c r="H937" s="103"/>
      <c r="I937" s="103"/>
    </row>
    <row r="938">
      <c r="B938" s="103"/>
      <c r="C938" s="103"/>
      <c r="D938" s="103"/>
      <c r="H938" s="103"/>
      <c r="I938" s="103"/>
    </row>
    <row r="939">
      <c r="B939" s="103"/>
      <c r="C939" s="103"/>
      <c r="D939" s="103"/>
      <c r="H939" s="103"/>
      <c r="I939" s="103"/>
    </row>
    <row r="940">
      <c r="B940" s="103"/>
      <c r="C940" s="103"/>
      <c r="D940" s="103"/>
      <c r="H940" s="103"/>
      <c r="I940" s="103"/>
    </row>
    <row r="941">
      <c r="B941" s="103"/>
      <c r="C941" s="103"/>
      <c r="D941" s="103"/>
      <c r="H941" s="103"/>
      <c r="I941" s="103"/>
    </row>
    <row r="942">
      <c r="B942" s="103"/>
      <c r="C942" s="103"/>
      <c r="D942" s="103"/>
      <c r="H942" s="103"/>
      <c r="I942" s="103"/>
    </row>
    <row r="943">
      <c r="B943" s="103"/>
      <c r="C943" s="103"/>
      <c r="D943" s="103"/>
      <c r="H943" s="103"/>
      <c r="I943" s="103"/>
    </row>
    <row r="944">
      <c r="B944" s="103"/>
      <c r="C944" s="103"/>
      <c r="D944" s="103"/>
      <c r="H944" s="103"/>
      <c r="I944" s="103"/>
    </row>
    <row r="945">
      <c r="B945" s="103"/>
      <c r="C945" s="103"/>
      <c r="D945" s="103"/>
      <c r="H945" s="103"/>
      <c r="I945" s="103"/>
    </row>
    <row r="946">
      <c r="B946" s="103"/>
      <c r="C946" s="103"/>
      <c r="D946" s="103"/>
      <c r="H946" s="103"/>
      <c r="I946" s="103"/>
    </row>
    <row r="947">
      <c r="B947" s="103"/>
      <c r="C947" s="103"/>
      <c r="D947" s="103"/>
      <c r="H947" s="103"/>
      <c r="I947" s="103"/>
    </row>
    <row r="948">
      <c r="B948" s="103"/>
      <c r="C948" s="103"/>
      <c r="D948" s="103"/>
      <c r="H948" s="103"/>
      <c r="I948" s="103"/>
    </row>
    <row r="949">
      <c r="B949" s="103"/>
      <c r="C949" s="103"/>
      <c r="D949" s="103"/>
      <c r="H949" s="103"/>
      <c r="I949" s="103"/>
    </row>
    <row r="950">
      <c r="B950" s="103"/>
      <c r="C950" s="103"/>
      <c r="D950" s="103"/>
      <c r="H950" s="103"/>
      <c r="I950" s="103"/>
    </row>
    <row r="951">
      <c r="B951" s="103"/>
      <c r="C951" s="103"/>
      <c r="D951" s="103"/>
      <c r="H951" s="103"/>
      <c r="I951" s="103"/>
    </row>
    <row r="952">
      <c r="B952" s="103"/>
      <c r="C952" s="103"/>
      <c r="D952" s="103"/>
      <c r="H952" s="103"/>
      <c r="I952" s="103"/>
    </row>
    <row r="953">
      <c r="B953" s="103"/>
      <c r="C953" s="103"/>
      <c r="D953" s="103"/>
      <c r="H953" s="103"/>
      <c r="I953" s="103"/>
    </row>
    <row r="954">
      <c r="B954" s="103"/>
      <c r="C954" s="103"/>
      <c r="D954" s="103"/>
      <c r="H954" s="103"/>
      <c r="I954" s="103"/>
    </row>
    <row r="955">
      <c r="B955" s="103"/>
      <c r="C955" s="103"/>
      <c r="D955" s="103"/>
      <c r="H955" s="103"/>
      <c r="I955" s="103"/>
    </row>
    <row r="956">
      <c r="B956" s="103"/>
      <c r="C956" s="103"/>
      <c r="D956" s="103"/>
      <c r="H956" s="103"/>
      <c r="I956" s="103"/>
    </row>
    <row r="957">
      <c r="B957" s="103"/>
      <c r="C957" s="103"/>
      <c r="D957" s="103"/>
      <c r="H957" s="103"/>
      <c r="I957" s="103"/>
    </row>
    <row r="958">
      <c r="B958" s="103"/>
      <c r="C958" s="103"/>
      <c r="D958" s="103"/>
      <c r="H958" s="103"/>
      <c r="I958" s="103"/>
    </row>
    <row r="959">
      <c r="B959" s="103"/>
      <c r="C959" s="103"/>
      <c r="D959" s="103"/>
      <c r="H959" s="103"/>
      <c r="I959" s="103"/>
    </row>
    <row r="960">
      <c r="B960" s="103"/>
      <c r="C960" s="103"/>
      <c r="D960" s="103"/>
      <c r="H960" s="103"/>
      <c r="I960" s="103"/>
    </row>
    <row r="961">
      <c r="B961" s="103"/>
      <c r="C961" s="103"/>
      <c r="D961" s="103"/>
      <c r="H961" s="103"/>
      <c r="I961" s="103"/>
    </row>
    <row r="962">
      <c r="B962" s="103"/>
      <c r="C962" s="103"/>
      <c r="D962" s="103"/>
      <c r="H962" s="103"/>
      <c r="I962" s="103"/>
    </row>
    <row r="963">
      <c r="B963" s="103"/>
      <c r="C963" s="103"/>
      <c r="D963" s="103"/>
      <c r="H963" s="103"/>
      <c r="I963" s="103"/>
    </row>
    <row r="964">
      <c r="B964" s="103"/>
      <c r="C964" s="103"/>
      <c r="D964" s="103"/>
      <c r="H964" s="103"/>
      <c r="I964" s="103"/>
    </row>
    <row r="965">
      <c r="B965" s="103"/>
      <c r="C965" s="103"/>
      <c r="D965" s="103"/>
      <c r="H965" s="103"/>
      <c r="I965" s="103"/>
    </row>
    <row r="966">
      <c r="B966" s="103"/>
      <c r="C966" s="103"/>
      <c r="D966" s="103"/>
      <c r="H966" s="103"/>
      <c r="I966" s="103"/>
    </row>
    <row r="967">
      <c r="B967" s="103"/>
      <c r="C967" s="103"/>
      <c r="D967" s="103"/>
      <c r="H967" s="103"/>
      <c r="I967" s="103"/>
    </row>
    <row r="968">
      <c r="B968" s="103"/>
      <c r="C968" s="103"/>
      <c r="D968" s="103"/>
      <c r="H968" s="103"/>
      <c r="I968" s="103"/>
    </row>
    <row r="969">
      <c r="B969" s="103"/>
      <c r="C969" s="103"/>
      <c r="D969" s="103"/>
      <c r="H969" s="103"/>
      <c r="I969" s="103"/>
    </row>
    <row r="970">
      <c r="B970" s="103"/>
      <c r="C970" s="103"/>
      <c r="D970" s="103"/>
      <c r="H970" s="103"/>
      <c r="I970" s="103"/>
    </row>
    <row r="971">
      <c r="B971" s="103"/>
      <c r="C971" s="103"/>
      <c r="D971" s="103"/>
      <c r="H971" s="103"/>
      <c r="I971" s="103"/>
    </row>
    <row r="972">
      <c r="B972" s="103"/>
      <c r="C972" s="103"/>
      <c r="D972" s="103"/>
      <c r="H972" s="103"/>
      <c r="I972" s="103"/>
    </row>
    <row r="973">
      <c r="B973" s="103"/>
      <c r="C973" s="103"/>
      <c r="D973" s="103"/>
      <c r="H973" s="103"/>
      <c r="I973" s="103"/>
    </row>
    <row r="974">
      <c r="B974" s="103"/>
      <c r="C974" s="103"/>
      <c r="D974" s="103"/>
      <c r="H974" s="103"/>
      <c r="I974" s="103"/>
    </row>
    <row r="975">
      <c r="B975" s="103"/>
      <c r="C975" s="103"/>
      <c r="D975" s="103"/>
      <c r="H975" s="103"/>
      <c r="I975" s="103"/>
    </row>
    <row r="976">
      <c r="B976" s="103"/>
      <c r="C976" s="103"/>
      <c r="D976" s="103"/>
      <c r="H976" s="103"/>
      <c r="I976" s="103"/>
    </row>
    <row r="977">
      <c r="B977" s="103"/>
      <c r="C977" s="103"/>
      <c r="D977" s="103"/>
      <c r="H977" s="103"/>
      <c r="I977" s="103"/>
    </row>
    <row r="978">
      <c r="B978" s="103"/>
      <c r="C978" s="103"/>
      <c r="D978" s="103"/>
      <c r="H978" s="103"/>
      <c r="I978" s="103"/>
    </row>
    <row r="979">
      <c r="B979" s="103"/>
      <c r="C979" s="103"/>
      <c r="D979" s="103"/>
      <c r="H979" s="103"/>
      <c r="I979" s="103"/>
    </row>
    <row r="980">
      <c r="B980" s="103"/>
      <c r="C980" s="103"/>
      <c r="D980" s="103"/>
      <c r="H980" s="103"/>
      <c r="I980" s="103"/>
    </row>
    <row r="981">
      <c r="B981" s="103"/>
      <c r="C981" s="103"/>
      <c r="D981" s="103"/>
      <c r="H981" s="103"/>
      <c r="I981" s="103"/>
    </row>
    <row r="982">
      <c r="B982" s="103"/>
      <c r="C982" s="103"/>
      <c r="D982" s="103"/>
      <c r="H982" s="103"/>
      <c r="I982" s="103"/>
    </row>
    <row r="983">
      <c r="B983" s="103"/>
      <c r="C983" s="103"/>
      <c r="D983" s="103"/>
      <c r="H983" s="103"/>
      <c r="I983" s="103"/>
    </row>
    <row r="984">
      <c r="B984" s="103"/>
      <c r="C984" s="103"/>
      <c r="D984" s="103"/>
      <c r="H984" s="103"/>
      <c r="I984" s="103"/>
    </row>
    <row r="985">
      <c r="B985" s="103"/>
      <c r="C985" s="103"/>
      <c r="D985" s="103"/>
      <c r="H985" s="103"/>
      <c r="I985" s="103"/>
    </row>
    <row r="986">
      <c r="B986" s="103"/>
      <c r="C986" s="103"/>
      <c r="D986" s="103"/>
      <c r="H986" s="103"/>
      <c r="I986" s="103"/>
    </row>
    <row r="987">
      <c r="B987" s="103"/>
      <c r="C987" s="103"/>
      <c r="D987" s="103"/>
      <c r="H987" s="103"/>
      <c r="I987" s="103"/>
    </row>
    <row r="988">
      <c r="B988" s="103"/>
      <c r="C988" s="103"/>
      <c r="D988" s="103"/>
      <c r="H988" s="103"/>
      <c r="I988" s="103"/>
    </row>
    <row r="989">
      <c r="B989" s="103"/>
      <c r="C989" s="103"/>
      <c r="D989" s="103"/>
      <c r="H989" s="103"/>
      <c r="I989" s="103"/>
    </row>
    <row r="990">
      <c r="B990" s="103"/>
      <c r="C990" s="103"/>
      <c r="D990" s="103"/>
      <c r="H990" s="103"/>
      <c r="I990" s="103"/>
    </row>
    <row r="991">
      <c r="B991" s="103"/>
      <c r="C991" s="103"/>
      <c r="D991" s="103"/>
      <c r="H991" s="103"/>
      <c r="I991" s="103"/>
    </row>
  </sheetData>
  <autoFilter ref="$B$2:$R$35"/>
  <mergeCells count="12">
    <mergeCell ref="G5:G6"/>
    <mergeCell ref="H5:H6"/>
    <mergeCell ref="N3:R3"/>
    <mergeCell ref="N5:Q5"/>
    <mergeCell ref="B3:H3"/>
    <mergeCell ref="B5:B6"/>
    <mergeCell ref="C5:C6"/>
    <mergeCell ref="D5:D6"/>
    <mergeCell ref="E5:E6"/>
    <mergeCell ref="F5:F6"/>
    <mergeCell ref="I5:I6"/>
    <mergeCell ref="B35:I35"/>
  </mergeCells>
  <dataValidations>
    <dataValidation type="list" allowBlank="1" showErrorMessage="1" sqref="H7:H34">
      <formula1>"Could,Should,Must"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2.0"/>
    <col customWidth="1" min="3" max="3" width="5.13"/>
    <col customWidth="1" min="4" max="4" width="20.5"/>
    <col customWidth="1" hidden="1" min="5" max="5" width="27.25"/>
    <col customWidth="1" min="6" max="6" width="45.0"/>
    <col customWidth="1" min="7" max="7" width="34.0"/>
    <col customWidth="1" min="8" max="20" width="15.5"/>
    <col customWidth="1" min="21" max="21" width="6.88"/>
    <col customWidth="1" min="22" max="26" width="11.13"/>
  </cols>
  <sheetData>
    <row r="1" ht="39.0" customHeight="1">
      <c r="A1" s="1"/>
      <c r="B1" s="150" t="s">
        <v>190</v>
      </c>
      <c r="C1" s="151"/>
      <c r="D1" s="151"/>
      <c r="E1" s="151"/>
      <c r="F1" s="152"/>
      <c r="G1" s="151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02"/>
      <c r="W1" s="102"/>
      <c r="X1" s="102"/>
      <c r="Y1" s="102"/>
      <c r="Z1" s="102"/>
    </row>
    <row r="2" ht="10.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54"/>
      <c r="U2" s="102"/>
      <c r="V2" s="102"/>
      <c r="W2" s="102"/>
      <c r="X2" s="102"/>
      <c r="Y2" s="102"/>
      <c r="Z2" s="102"/>
    </row>
    <row r="3" ht="26.25" customHeight="1">
      <c r="A3" s="102"/>
      <c r="B3" s="102"/>
      <c r="C3" s="155" t="s">
        <v>54</v>
      </c>
      <c r="D3" s="155" t="s">
        <v>191</v>
      </c>
      <c r="E3" s="155" t="s">
        <v>192</v>
      </c>
      <c r="F3" s="156" t="s">
        <v>55</v>
      </c>
      <c r="G3" s="157" t="s">
        <v>193</v>
      </c>
      <c r="H3" s="158">
        <v>2025.0</v>
      </c>
      <c r="I3" s="159"/>
      <c r="J3" s="159"/>
      <c r="K3" s="159"/>
      <c r="L3" s="159"/>
      <c r="M3" s="159"/>
      <c r="N3" s="159"/>
      <c r="O3" s="90"/>
      <c r="P3" s="160">
        <v>2026.0</v>
      </c>
      <c r="Q3" s="43"/>
      <c r="R3" s="43"/>
      <c r="S3" s="43"/>
      <c r="T3" s="44"/>
      <c r="U3" s="102"/>
      <c r="V3" s="102"/>
      <c r="W3" s="102"/>
      <c r="X3" s="102"/>
      <c r="Y3" s="102"/>
      <c r="Z3" s="102"/>
    </row>
    <row r="4" ht="26.25" customHeight="1">
      <c r="A4" s="102"/>
      <c r="B4" s="102"/>
      <c r="C4" s="54"/>
      <c r="D4" s="54"/>
      <c r="E4" s="54"/>
      <c r="F4" s="54"/>
      <c r="G4" s="54"/>
      <c r="H4" s="160">
        <v>11.0</v>
      </c>
      <c r="I4" s="43"/>
      <c r="J4" s="43"/>
      <c r="K4" s="44"/>
      <c r="L4" s="161">
        <v>12.0</v>
      </c>
      <c r="M4" s="43"/>
      <c r="N4" s="43"/>
      <c r="O4" s="44"/>
      <c r="P4" s="162" t="s">
        <v>194</v>
      </c>
      <c r="Q4" s="43"/>
      <c r="R4" s="43"/>
      <c r="S4" s="43"/>
      <c r="T4" s="44"/>
      <c r="U4" s="102"/>
      <c r="V4" s="102"/>
      <c r="W4" s="102"/>
      <c r="X4" s="102"/>
      <c r="Y4" s="102"/>
      <c r="Z4" s="102"/>
    </row>
    <row r="5" ht="27.75" customHeight="1">
      <c r="A5" s="1"/>
      <c r="B5" s="163"/>
      <c r="C5" s="50"/>
      <c r="D5" s="50"/>
      <c r="E5" s="50"/>
      <c r="F5" s="50"/>
      <c r="G5" s="50"/>
      <c r="H5" s="164" t="s">
        <v>195</v>
      </c>
      <c r="I5" s="165">
        <v>14.0</v>
      </c>
      <c r="J5" s="165">
        <v>21.0</v>
      </c>
      <c r="K5" s="165">
        <v>28.0</v>
      </c>
      <c r="L5" s="166" t="s">
        <v>196</v>
      </c>
      <c r="M5" s="167">
        <v>12.0</v>
      </c>
      <c r="N5" s="167">
        <v>19.0</v>
      </c>
      <c r="O5" s="167">
        <v>26.0</v>
      </c>
      <c r="P5" s="166" t="s">
        <v>197</v>
      </c>
      <c r="Q5" s="166" t="s">
        <v>198</v>
      </c>
      <c r="R5" s="167">
        <v>16.0</v>
      </c>
      <c r="S5" s="167">
        <v>23.0</v>
      </c>
      <c r="T5" s="167">
        <v>30.0</v>
      </c>
      <c r="U5" s="1"/>
      <c r="V5" s="102"/>
      <c r="W5" s="102"/>
      <c r="X5" s="102"/>
      <c r="Y5" s="102"/>
      <c r="Z5" s="102"/>
    </row>
    <row r="6" ht="124.5" customHeight="1">
      <c r="A6" s="1"/>
      <c r="B6" s="163"/>
      <c r="C6" s="168" t="s">
        <v>199</v>
      </c>
      <c r="D6" s="43"/>
      <c r="E6" s="43"/>
      <c r="F6" s="43"/>
      <c r="G6" s="44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70"/>
      <c r="U6" s="1"/>
      <c r="V6" s="102"/>
      <c r="W6" s="102"/>
      <c r="X6" s="102"/>
      <c r="Y6" s="102"/>
      <c r="Z6" s="102"/>
    </row>
    <row r="7" ht="66.0" customHeight="1">
      <c r="A7" s="1"/>
      <c r="B7" s="163"/>
      <c r="C7" s="171">
        <v>1.0</v>
      </c>
      <c r="D7" s="172" t="s">
        <v>200</v>
      </c>
      <c r="E7" s="74"/>
      <c r="F7" s="173" t="s">
        <v>59</v>
      </c>
      <c r="G7" s="174" t="s">
        <v>201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"/>
      <c r="V7" s="102"/>
      <c r="W7" s="102"/>
      <c r="X7" s="102"/>
      <c r="Y7" s="102"/>
      <c r="Z7" s="102"/>
    </row>
    <row r="8" ht="66.0" customHeight="1">
      <c r="A8" s="1"/>
      <c r="B8" s="163"/>
      <c r="C8" s="171">
        <v>2.0</v>
      </c>
      <c r="D8" s="75"/>
      <c r="E8" s="76"/>
      <c r="F8" s="173" t="s">
        <v>61</v>
      </c>
      <c r="G8" s="174" t="s">
        <v>201</v>
      </c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"/>
      <c r="V8" s="102"/>
      <c r="W8" s="102"/>
      <c r="X8" s="102"/>
      <c r="Y8" s="102"/>
      <c r="Z8" s="102"/>
    </row>
    <row r="9" ht="66.0" customHeight="1">
      <c r="A9" s="1"/>
      <c r="B9" s="163"/>
      <c r="C9" s="171">
        <v>3.0</v>
      </c>
      <c r="D9" s="75"/>
      <c r="E9" s="76"/>
      <c r="F9" s="176" t="s">
        <v>63</v>
      </c>
      <c r="G9" s="174" t="s">
        <v>201</v>
      </c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"/>
      <c r="V9" s="102"/>
      <c r="W9" s="102"/>
      <c r="X9" s="102"/>
      <c r="Y9" s="102"/>
      <c r="Z9" s="102"/>
    </row>
    <row r="10" ht="67.5" customHeight="1">
      <c r="A10" s="1"/>
      <c r="B10" s="163"/>
      <c r="C10" s="171">
        <v>4.0</v>
      </c>
      <c r="D10" s="177"/>
      <c r="E10" s="178"/>
      <c r="F10" s="176" t="s">
        <v>202</v>
      </c>
      <c r="G10" s="174" t="s">
        <v>203</v>
      </c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"/>
      <c r="V10" s="102"/>
      <c r="W10" s="102"/>
      <c r="X10" s="102"/>
      <c r="Y10" s="102"/>
      <c r="Z10" s="102"/>
    </row>
    <row r="11" ht="67.5" customHeight="1">
      <c r="A11" s="1"/>
      <c r="B11" s="163"/>
      <c r="C11" s="179">
        <v>5.0</v>
      </c>
      <c r="D11" s="180" t="s">
        <v>204</v>
      </c>
      <c r="E11" s="181" t="s">
        <v>205</v>
      </c>
      <c r="F11" s="182" t="s">
        <v>65</v>
      </c>
      <c r="G11" s="183" t="s">
        <v>201</v>
      </c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"/>
      <c r="V11" s="102"/>
      <c r="W11" s="102"/>
      <c r="X11" s="102"/>
      <c r="Y11" s="102"/>
      <c r="Z11" s="102"/>
    </row>
    <row r="12" ht="67.5" customHeight="1">
      <c r="A12" s="1"/>
      <c r="B12" s="163"/>
      <c r="C12" s="185">
        <v>6.0</v>
      </c>
      <c r="D12" s="54"/>
      <c r="E12" s="54"/>
      <c r="F12" s="182" t="s">
        <v>206</v>
      </c>
      <c r="G12" s="183" t="s">
        <v>203</v>
      </c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"/>
      <c r="V12" s="102"/>
      <c r="W12" s="102"/>
      <c r="X12" s="102"/>
      <c r="Y12" s="102"/>
      <c r="Z12" s="102"/>
    </row>
    <row r="13" ht="67.5" customHeight="1">
      <c r="A13" s="1"/>
      <c r="B13" s="163"/>
      <c r="C13" s="185">
        <v>7.0</v>
      </c>
      <c r="D13" s="50"/>
      <c r="E13" s="50"/>
      <c r="F13" s="182" t="s">
        <v>67</v>
      </c>
      <c r="G13" s="183" t="s">
        <v>201</v>
      </c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"/>
      <c r="V13" s="102"/>
      <c r="W13" s="102"/>
      <c r="X13" s="102"/>
      <c r="Y13" s="102"/>
      <c r="Z13" s="102"/>
    </row>
    <row r="14" ht="67.5" customHeight="1">
      <c r="A14" s="1"/>
      <c r="B14" s="163"/>
      <c r="C14" s="179">
        <v>8.0</v>
      </c>
      <c r="D14" s="186" t="s">
        <v>207</v>
      </c>
      <c r="E14" s="181" t="s">
        <v>208</v>
      </c>
      <c r="F14" s="182" t="s">
        <v>65</v>
      </c>
      <c r="G14" s="183" t="s">
        <v>201</v>
      </c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"/>
      <c r="V14" s="102"/>
      <c r="W14" s="102"/>
      <c r="X14" s="102"/>
      <c r="Y14" s="102"/>
      <c r="Z14" s="102"/>
    </row>
    <row r="15" ht="67.5" customHeight="1">
      <c r="A15" s="1"/>
      <c r="B15" s="163"/>
      <c r="C15" s="185">
        <v>9.0</v>
      </c>
      <c r="D15" s="54"/>
      <c r="E15" s="54"/>
      <c r="F15" s="182" t="s">
        <v>206</v>
      </c>
      <c r="G15" s="183" t="s">
        <v>203</v>
      </c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"/>
      <c r="V15" s="102"/>
      <c r="W15" s="102"/>
      <c r="X15" s="102"/>
      <c r="Y15" s="102"/>
      <c r="Z15" s="102"/>
    </row>
    <row r="16" ht="67.5" customHeight="1">
      <c r="A16" s="1"/>
      <c r="B16" s="163"/>
      <c r="C16" s="185">
        <v>10.0</v>
      </c>
      <c r="D16" s="50"/>
      <c r="E16" s="50"/>
      <c r="F16" s="187" t="s">
        <v>67</v>
      </c>
      <c r="G16" s="183" t="s">
        <v>201</v>
      </c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"/>
      <c r="V16" s="102"/>
      <c r="W16" s="102"/>
      <c r="X16" s="102"/>
      <c r="Y16" s="102"/>
      <c r="Z16" s="102"/>
    </row>
    <row r="17" ht="67.5" customHeight="1">
      <c r="A17" s="1"/>
      <c r="B17" s="163"/>
      <c r="C17" s="179">
        <v>11.0</v>
      </c>
      <c r="D17" s="186" t="s">
        <v>209</v>
      </c>
      <c r="E17" s="181" t="s">
        <v>210</v>
      </c>
      <c r="F17" s="182" t="s">
        <v>65</v>
      </c>
      <c r="G17" s="188" t="s">
        <v>201</v>
      </c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"/>
      <c r="V17" s="102"/>
      <c r="W17" s="102"/>
      <c r="X17" s="102"/>
      <c r="Y17" s="102"/>
      <c r="Z17" s="102"/>
    </row>
    <row r="18" ht="67.5" customHeight="1">
      <c r="A18" s="1"/>
      <c r="B18" s="163"/>
      <c r="C18" s="185">
        <v>12.0</v>
      </c>
      <c r="D18" s="54"/>
      <c r="E18" s="54"/>
      <c r="F18" s="182" t="s">
        <v>206</v>
      </c>
      <c r="G18" s="188" t="s">
        <v>203</v>
      </c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"/>
      <c r="V18" s="102"/>
      <c r="W18" s="102"/>
      <c r="X18" s="102"/>
      <c r="Y18" s="102"/>
      <c r="Z18" s="102"/>
    </row>
    <row r="19" ht="67.5" customHeight="1">
      <c r="A19" s="1"/>
      <c r="B19" s="163"/>
      <c r="C19" s="185">
        <v>13.0</v>
      </c>
      <c r="D19" s="50"/>
      <c r="E19" s="50"/>
      <c r="F19" s="189" t="s">
        <v>211</v>
      </c>
      <c r="G19" s="188" t="s">
        <v>201</v>
      </c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"/>
      <c r="V19" s="102"/>
      <c r="W19" s="102"/>
      <c r="X19" s="102"/>
      <c r="Y19" s="102"/>
      <c r="Z19" s="102"/>
    </row>
    <row r="20" ht="15.75" customHeight="1">
      <c r="A20" s="1"/>
      <c r="B20" s="163"/>
      <c r="C20" s="163"/>
      <c r="D20" s="163"/>
      <c r="E20" s="163"/>
      <c r="F20" s="190"/>
      <c r="G20" s="16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2"/>
      <c r="W20" s="102"/>
      <c r="X20" s="102"/>
      <c r="Y20" s="102"/>
      <c r="Z20" s="102"/>
    </row>
    <row r="21" ht="15.75" customHeight="1">
      <c r="A21" s="1"/>
      <c r="B21" s="163"/>
      <c r="C21" s="163"/>
      <c r="D21" s="163"/>
      <c r="E21" s="163"/>
      <c r="F21" s="190"/>
      <c r="G21" s="16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2"/>
      <c r="W21" s="102"/>
      <c r="X21" s="102"/>
      <c r="Y21" s="102"/>
      <c r="Z21" s="102"/>
    </row>
    <row r="22" ht="15.75" customHeight="1">
      <c r="A22" s="1"/>
      <c r="B22" s="163"/>
      <c r="C22" s="163"/>
      <c r="D22" s="163"/>
      <c r="E22" s="163"/>
      <c r="F22" s="190"/>
      <c r="G22" s="16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2"/>
      <c r="W22" s="102"/>
      <c r="X22" s="102"/>
      <c r="Y22" s="102"/>
      <c r="Z22" s="102"/>
    </row>
    <row r="23" ht="15.75" customHeight="1">
      <c r="A23" s="1"/>
      <c r="B23" s="163"/>
      <c r="C23" s="163"/>
      <c r="D23" s="163"/>
      <c r="E23" s="163"/>
      <c r="F23" s="190"/>
      <c r="G23" s="16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2"/>
      <c r="W23" s="102"/>
      <c r="X23" s="102"/>
      <c r="Y23" s="102"/>
      <c r="Z23" s="102"/>
    </row>
    <row r="24" ht="15.75" customHeight="1">
      <c r="A24" s="1"/>
      <c r="B24" s="163"/>
      <c r="C24" s="163"/>
      <c r="D24" s="163"/>
      <c r="E24" s="163"/>
      <c r="F24" s="190"/>
      <c r="G24" s="16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02"/>
      <c r="W24" s="102"/>
      <c r="X24" s="102"/>
      <c r="Y24" s="102"/>
      <c r="Z24" s="102"/>
    </row>
    <row r="25" ht="15.75" customHeight="1">
      <c r="A25" s="1"/>
      <c r="B25" s="163"/>
      <c r="C25" s="163"/>
      <c r="D25" s="163"/>
      <c r="E25" s="163"/>
      <c r="F25" s="190"/>
      <c r="G25" s="16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02"/>
      <c r="W25" s="102"/>
      <c r="X25" s="102"/>
      <c r="Y25" s="102"/>
      <c r="Z25" s="102"/>
    </row>
    <row r="26" ht="15.75" customHeight="1">
      <c r="A26" s="1"/>
      <c r="B26" s="163"/>
      <c r="C26" s="163"/>
      <c r="D26" s="163"/>
      <c r="E26" s="163"/>
      <c r="F26" s="190"/>
      <c r="G26" s="16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02"/>
      <c r="W26" s="102"/>
      <c r="X26" s="102"/>
      <c r="Y26" s="102"/>
      <c r="Z26" s="102"/>
    </row>
    <row r="27" ht="15.75" customHeight="1">
      <c r="A27" s="1"/>
      <c r="B27" s="163"/>
      <c r="C27" s="163"/>
      <c r="D27" s="163"/>
      <c r="E27" s="163"/>
      <c r="F27" s="190"/>
      <c r="G27" s="16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02"/>
      <c r="W27" s="102"/>
      <c r="X27" s="102"/>
      <c r="Y27" s="102"/>
      <c r="Z27" s="102"/>
    </row>
    <row r="28" ht="15.75" customHeight="1">
      <c r="A28" s="1"/>
      <c r="B28" s="163"/>
      <c r="C28" s="163"/>
      <c r="D28" s="163"/>
      <c r="E28" s="163"/>
      <c r="F28" s="190"/>
      <c r="G28" s="16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02"/>
      <c r="W28" s="102"/>
      <c r="X28" s="102"/>
      <c r="Y28" s="102"/>
      <c r="Z28" s="102"/>
    </row>
    <row r="29" ht="15.75" customHeight="1">
      <c r="A29" s="1"/>
      <c r="B29" s="163"/>
      <c r="C29" s="163"/>
      <c r="D29" s="163"/>
      <c r="E29" s="163"/>
      <c r="F29" s="190"/>
      <c r="G29" s="16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02"/>
      <c r="W29" s="102"/>
      <c r="X29" s="102"/>
      <c r="Y29" s="102"/>
      <c r="Z29" s="102"/>
    </row>
    <row r="30" ht="15.75" customHeight="1">
      <c r="A30" s="1"/>
      <c r="B30" s="163"/>
      <c r="C30" s="163"/>
      <c r="D30" s="163"/>
      <c r="E30" s="163"/>
      <c r="F30" s="190"/>
      <c r="G30" s="16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02"/>
      <c r="W30" s="102"/>
      <c r="X30" s="102"/>
      <c r="Y30" s="102"/>
      <c r="Z30" s="102"/>
    </row>
    <row r="31" ht="15.75" customHeight="1">
      <c r="A31" s="1"/>
      <c r="B31" s="163"/>
      <c r="C31" s="163"/>
      <c r="D31" s="163"/>
      <c r="E31" s="163"/>
      <c r="F31" s="190"/>
      <c r="G31" s="16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02"/>
      <c r="W31" s="102"/>
      <c r="X31" s="102"/>
      <c r="Y31" s="102"/>
      <c r="Z31" s="102"/>
    </row>
    <row r="32" ht="15.75" customHeight="1">
      <c r="A32" s="1"/>
      <c r="B32" s="163"/>
      <c r="C32" s="163"/>
      <c r="D32" s="163"/>
      <c r="E32" s="163"/>
      <c r="F32" s="190"/>
      <c r="G32" s="16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02"/>
      <c r="W32" s="102"/>
      <c r="X32" s="102"/>
      <c r="Y32" s="102"/>
      <c r="Z32" s="102"/>
    </row>
    <row r="33" ht="15.75" customHeight="1">
      <c r="A33" s="1"/>
      <c r="B33" s="163"/>
      <c r="C33" s="163"/>
      <c r="D33" s="163"/>
      <c r="E33" s="163"/>
      <c r="F33" s="190"/>
      <c r="G33" s="16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02"/>
      <c r="W33" s="102"/>
      <c r="X33" s="102"/>
      <c r="Y33" s="102"/>
      <c r="Z33" s="102"/>
    </row>
    <row r="34" ht="15.75" customHeight="1">
      <c r="A34" s="1"/>
      <c r="B34" s="163"/>
      <c r="C34" s="163"/>
      <c r="D34" s="163"/>
      <c r="E34" s="163"/>
      <c r="F34" s="190"/>
      <c r="G34" s="16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02"/>
      <c r="W34" s="102"/>
      <c r="X34" s="102"/>
      <c r="Y34" s="102"/>
      <c r="Z34" s="102"/>
    </row>
    <row r="35" ht="15.75" customHeight="1">
      <c r="A35" s="1"/>
      <c r="B35" s="163"/>
      <c r="C35" s="163"/>
      <c r="D35" s="163"/>
      <c r="E35" s="163"/>
      <c r="F35" s="190"/>
      <c r="G35" s="16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02"/>
      <c r="W35" s="102"/>
      <c r="X35" s="102"/>
      <c r="Y35" s="102"/>
      <c r="Z35" s="102"/>
    </row>
    <row r="36" ht="15.75" customHeight="1">
      <c r="A36" s="1"/>
      <c r="B36" s="163"/>
      <c r="C36" s="163"/>
      <c r="D36" s="163"/>
      <c r="E36" s="163"/>
      <c r="F36" s="190"/>
      <c r="G36" s="16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02"/>
      <c r="W36" s="102"/>
      <c r="X36" s="102"/>
      <c r="Y36" s="102"/>
      <c r="Z36" s="102"/>
    </row>
    <row r="37" ht="15.75" customHeight="1">
      <c r="A37" s="1"/>
      <c r="B37" s="163"/>
      <c r="C37" s="163"/>
      <c r="D37" s="163"/>
      <c r="E37" s="163"/>
      <c r="F37" s="190"/>
      <c r="G37" s="16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02"/>
      <c r="W37" s="102"/>
      <c r="X37" s="102"/>
      <c r="Y37" s="102"/>
      <c r="Z37" s="102"/>
    </row>
    <row r="38" ht="15.75" customHeight="1">
      <c r="A38" s="1"/>
      <c r="B38" s="163"/>
      <c r="C38" s="163"/>
      <c r="D38" s="163"/>
      <c r="E38" s="163"/>
      <c r="F38" s="190"/>
      <c r="G38" s="16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02"/>
      <c r="W38" s="102"/>
      <c r="X38" s="102"/>
      <c r="Y38" s="102"/>
      <c r="Z38" s="102"/>
    </row>
    <row r="39" ht="15.75" customHeight="1">
      <c r="A39" s="1"/>
      <c r="B39" s="163"/>
      <c r="C39" s="163"/>
      <c r="D39" s="163"/>
      <c r="E39" s="163"/>
      <c r="F39" s="190"/>
      <c r="G39" s="16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02"/>
      <c r="W39" s="102"/>
      <c r="X39" s="102"/>
      <c r="Y39" s="102"/>
      <c r="Z39" s="102"/>
    </row>
    <row r="40" ht="15.75" customHeight="1">
      <c r="A40" s="1"/>
      <c r="B40" s="163"/>
      <c r="C40" s="163"/>
      <c r="D40" s="163"/>
      <c r="E40" s="163"/>
      <c r="F40" s="190"/>
      <c r="G40" s="16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02"/>
      <c r="W40" s="102"/>
      <c r="X40" s="102"/>
      <c r="Y40" s="102"/>
      <c r="Z40" s="102"/>
    </row>
    <row r="41" ht="15.75" customHeight="1">
      <c r="A41" s="1"/>
      <c r="B41" s="163"/>
      <c r="C41" s="163"/>
      <c r="D41" s="163"/>
      <c r="E41" s="163"/>
      <c r="F41" s="190"/>
      <c r="G41" s="16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02"/>
      <c r="W41" s="102"/>
      <c r="X41" s="102"/>
      <c r="Y41" s="102"/>
      <c r="Z41" s="102"/>
    </row>
    <row r="42" ht="15.75" customHeight="1">
      <c r="A42" s="1"/>
      <c r="B42" s="163"/>
      <c r="C42" s="163"/>
      <c r="D42" s="163"/>
      <c r="E42" s="163"/>
      <c r="F42" s="190"/>
      <c r="G42" s="16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02"/>
      <c r="W42" s="102"/>
      <c r="X42" s="102"/>
      <c r="Y42" s="102"/>
      <c r="Z42" s="102"/>
    </row>
    <row r="43" ht="15.75" customHeight="1">
      <c r="A43" s="1"/>
      <c r="B43" s="163"/>
      <c r="C43" s="163"/>
      <c r="D43" s="163"/>
      <c r="E43" s="163"/>
      <c r="F43" s="190"/>
      <c r="G43" s="16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02"/>
      <c r="W43" s="102"/>
      <c r="X43" s="102"/>
      <c r="Y43" s="102"/>
      <c r="Z43" s="102"/>
    </row>
    <row r="44" ht="15.75" customHeight="1">
      <c r="A44" s="1"/>
      <c r="B44" s="163"/>
      <c r="C44" s="163"/>
      <c r="D44" s="163"/>
      <c r="E44" s="163"/>
      <c r="F44" s="190"/>
      <c r="G44" s="16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02"/>
      <c r="W44" s="102"/>
      <c r="X44" s="102"/>
      <c r="Y44" s="102"/>
      <c r="Z44" s="102"/>
    </row>
    <row r="45" ht="15.75" customHeight="1">
      <c r="A45" s="1"/>
      <c r="B45" s="163"/>
      <c r="C45" s="163"/>
      <c r="D45" s="163"/>
      <c r="E45" s="163"/>
      <c r="F45" s="190"/>
      <c r="G45" s="16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02"/>
      <c r="W45" s="102"/>
      <c r="X45" s="102"/>
      <c r="Y45" s="102"/>
      <c r="Z45" s="102"/>
    </row>
    <row r="46" ht="15.75" customHeight="1">
      <c r="A46" s="1"/>
      <c r="B46" s="163"/>
      <c r="C46" s="163"/>
      <c r="D46" s="163"/>
      <c r="E46" s="163"/>
      <c r="F46" s="190"/>
      <c r="G46" s="16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02"/>
      <c r="W46" s="102"/>
      <c r="X46" s="102"/>
      <c r="Y46" s="102"/>
      <c r="Z46" s="102"/>
    </row>
    <row r="47" ht="15.75" customHeight="1">
      <c r="A47" s="1"/>
      <c r="B47" s="163"/>
      <c r="C47" s="163"/>
      <c r="D47" s="163"/>
      <c r="E47" s="163"/>
      <c r="F47" s="190"/>
      <c r="G47" s="16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02"/>
      <c r="W47" s="102"/>
      <c r="X47" s="102"/>
      <c r="Y47" s="102"/>
      <c r="Z47" s="102"/>
    </row>
    <row r="48" ht="15.75" customHeight="1">
      <c r="A48" s="1"/>
      <c r="B48" s="163"/>
      <c r="C48" s="163"/>
      <c r="D48" s="163"/>
      <c r="E48" s="163"/>
      <c r="F48" s="190"/>
      <c r="G48" s="16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02"/>
      <c r="W48" s="102"/>
      <c r="X48" s="102"/>
      <c r="Y48" s="102"/>
      <c r="Z48" s="102"/>
    </row>
    <row r="49" ht="15.75" customHeight="1">
      <c r="A49" s="1"/>
      <c r="B49" s="163"/>
      <c r="C49" s="163"/>
      <c r="D49" s="163"/>
      <c r="E49" s="163"/>
      <c r="F49" s="190"/>
      <c r="G49" s="16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02"/>
      <c r="W49" s="102"/>
      <c r="X49" s="102"/>
      <c r="Y49" s="102"/>
      <c r="Z49" s="102"/>
    </row>
    <row r="50" ht="15.75" customHeight="1">
      <c r="A50" s="1"/>
      <c r="B50" s="163"/>
      <c r="C50" s="163"/>
      <c r="D50" s="163"/>
      <c r="E50" s="163"/>
      <c r="F50" s="190"/>
      <c r="G50" s="16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02"/>
      <c r="W50" s="102"/>
      <c r="X50" s="102"/>
      <c r="Y50" s="102"/>
      <c r="Z50" s="102"/>
    </row>
    <row r="51" ht="15.75" customHeight="1">
      <c r="A51" s="1"/>
      <c r="B51" s="163"/>
      <c r="C51" s="163"/>
      <c r="D51" s="163"/>
      <c r="E51" s="163"/>
      <c r="F51" s="190"/>
      <c r="G51" s="16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02"/>
      <c r="W51" s="102"/>
      <c r="X51" s="102"/>
      <c r="Y51" s="102"/>
      <c r="Z51" s="102"/>
    </row>
    <row r="52" ht="15.75" customHeight="1">
      <c r="A52" s="1"/>
      <c r="B52" s="163"/>
      <c r="C52" s="163"/>
      <c r="D52" s="163"/>
      <c r="E52" s="163"/>
      <c r="F52" s="190"/>
      <c r="G52" s="16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02"/>
      <c r="W52" s="102"/>
      <c r="X52" s="102"/>
      <c r="Y52" s="102"/>
      <c r="Z52" s="102"/>
    </row>
    <row r="53" ht="15.75" customHeight="1">
      <c r="A53" s="1"/>
      <c r="B53" s="163"/>
      <c r="C53" s="163"/>
      <c r="D53" s="163"/>
      <c r="E53" s="163"/>
      <c r="F53" s="190"/>
      <c r="G53" s="16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02"/>
      <c r="W53" s="102"/>
      <c r="X53" s="102"/>
      <c r="Y53" s="102"/>
      <c r="Z53" s="102"/>
    </row>
    <row r="54" ht="15.75" customHeight="1">
      <c r="A54" s="1"/>
      <c r="B54" s="163"/>
      <c r="C54" s="163"/>
      <c r="D54" s="163"/>
      <c r="E54" s="163"/>
      <c r="F54" s="190"/>
      <c r="G54" s="16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02"/>
      <c r="W54" s="102"/>
      <c r="X54" s="102"/>
      <c r="Y54" s="102"/>
      <c r="Z54" s="102"/>
    </row>
    <row r="55" ht="15.75" customHeight="1">
      <c r="A55" s="1"/>
      <c r="B55" s="163"/>
      <c r="C55" s="163"/>
      <c r="D55" s="163"/>
      <c r="E55" s="163"/>
      <c r="F55" s="190"/>
      <c r="G55" s="16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02"/>
      <c r="W55" s="102"/>
      <c r="X55" s="102"/>
      <c r="Y55" s="102"/>
      <c r="Z55" s="102"/>
    </row>
    <row r="56" ht="15.75" customHeight="1">
      <c r="A56" s="1"/>
      <c r="B56" s="163"/>
      <c r="C56" s="163"/>
      <c r="D56" s="163"/>
      <c r="E56" s="163"/>
      <c r="F56" s="190"/>
      <c r="G56" s="16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02"/>
      <c r="W56" s="102"/>
      <c r="X56" s="102"/>
      <c r="Y56" s="102"/>
      <c r="Z56" s="102"/>
    </row>
    <row r="57" ht="15.75" customHeight="1">
      <c r="A57" s="1"/>
      <c r="B57" s="163"/>
      <c r="C57" s="163"/>
      <c r="D57" s="163"/>
      <c r="E57" s="163"/>
      <c r="F57" s="190"/>
      <c r="G57" s="16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02"/>
      <c r="W57" s="102"/>
      <c r="X57" s="102"/>
      <c r="Y57" s="102"/>
      <c r="Z57" s="102"/>
    </row>
    <row r="58" ht="15.75" customHeight="1">
      <c r="A58" s="1"/>
      <c r="B58" s="163"/>
      <c r="C58" s="163"/>
      <c r="D58" s="163"/>
      <c r="E58" s="163"/>
      <c r="F58" s="190"/>
      <c r="G58" s="16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02"/>
      <c r="W58" s="102"/>
      <c r="X58" s="102"/>
      <c r="Y58" s="102"/>
      <c r="Z58" s="102"/>
    </row>
    <row r="59" ht="15.75" customHeight="1">
      <c r="A59" s="1"/>
      <c r="B59" s="163"/>
      <c r="C59" s="163"/>
      <c r="D59" s="163"/>
      <c r="E59" s="163"/>
      <c r="F59" s="190"/>
      <c r="G59" s="16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02"/>
      <c r="W59" s="102"/>
      <c r="X59" s="102"/>
      <c r="Y59" s="102"/>
      <c r="Z59" s="102"/>
    </row>
    <row r="60" ht="15.75" customHeight="1">
      <c r="A60" s="1"/>
      <c r="B60" s="163"/>
      <c r="C60" s="163"/>
      <c r="D60" s="163"/>
      <c r="E60" s="163"/>
      <c r="F60" s="190"/>
      <c r="G60" s="16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02"/>
      <c r="W60" s="102"/>
      <c r="X60" s="102"/>
      <c r="Y60" s="102"/>
      <c r="Z60" s="102"/>
    </row>
    <row r="61" ht="15.75" customHeight="1">
      <c r="A61" s="1"/>
      <c r="B61" s="163"/>
      <c r="C61" s="163"/>
      <c r="D61" s="163"/>
      <c r="E61" s="163"/>
      <c r="F61" s="190"/>
      <c r="G61" s="16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02"/>
      <c r="W61" s="102"/>
      <c r="X61" s="102"/>
      <c r="Y61" s="102"/>
      <c r="Z61" s="102"/>
    </row>
    <row r="62" ht="15.75" customHeight="1">
      <c r="A62" s="1"/>
      <c r="B62" s="163"/>
      <c r="C62" s="163"/>
      <c r="D62" s="163"/>
      <c r="E62" s="163"/>
      <c r="F62" s="190"/>
      <c r="G62" s="16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02"/>
      <c r="W62" s="102"/>
      <c r="X62" s="102"/>
      <c r="Y62" s="102"/>
      <c r="Z62" s="102"/>
    </row>
    <row r="63" ht="15.75" customHeight="1">
      <c r="A63" s="1"/>
      <c r="B63" s="163"/>
      <c r="C63" s="163"/>
      <c r="D63" s="163"/>
      <c r="E63" s="163"/>
      <c r="F63" s="190"/>
      <c r="G63" s="16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02"/>
      <c r="W63" s="102"/>
      <c r="X63" s="102"/>
      <c r="Y63" s="102"/>
      <c r="Z63" s="102"/>
    </row>
    <row r="64" ht="15.75" customHeight="1">
      <c r="A64" s="1"/>
      <c r="B64" s="163"/>
      <c r="C64" s="163"/>
      <c r="D64" s="163"/>
      <c r="E64" s="163"/>
      <c r="F64" s="190"/>
      <c r="G64" s="16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02"/>
      <c r="W64" s="102"/>
      <c r="X64" s="102"/>
      <c r="Y64" s="102"/>
      <c r="Z64" s="102"/>
    </row>
    <row r="65" ht="15.75" customHeight="1">
      <c r="A65" s="1"/>
      <c r="B65" s="163"/>
      <c r="C65" s="163"/>
      <c r="D65" s="163"/>
      <c r="E65" s="163"/>
      <c r="F65" s="190"/>
      <c r="G65" s="16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02"/>
      <c r="W65" s="102"/>
      <c r="X65" s="102"/>
      <c r="Y65" s="102"/>
      <c r="Z65" s="102"/>
    </row>
    <row r="66" ht="15.75" customHeight="1">
      <c r="A66" s="1"/>
      <c r="B66" s="163"/>
      <c r="C66" s="163"/>
      <c r="D66" s="163"/>
      <c r="E66" s="163"/>
      <c r="F66" s="190"/>
      <c r="G66" s="16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02"/>
      <c r="W66" s="102"/>
      <c r="X66" s="102"/>
      <c r="Y66" s="102"/>
      <c r="Z66" s="102"/>
    </row>
    <row r="67" ht="15.75" customHeight="1">
      <c r="A67" s="1"/>
      <c r="B67" s="163"/>
      <c r="C67" s="163"/>
      <c r="D67" s="163"/>
      <c r="E67" s="163"/>
      <c r="F67" s="190"/>
      <c r="G67" s="16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02"/>
      <c r="W67" s="102"/>
      <c r="X67" s="102"/>
      <c r="Y67" s="102"/>
      <c r="Z67" s="102"/>
    </row>
    <row r="68" ht="15.75" customHeight="1">
      <c r="A68" s="1"/>
      <c r="B68" s="163"/>
      <c r="C68" s="163"/>
      <c r="D68" s="163"/>
      <c r="E68" s="163"/>
      <c r="F68" s="190"/>
      <c r="G68" s="16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02"/>
      <c r="W68" s="102"/>
      <c r="X68" s="102"/>
      <c r="Y68" s="102"/>
      <c r="Z68" s="102"/>
    </row>
    <row r="69" ht="15.75" customHeight="1">
      <c r="A69" s="1"/>
      <c r="B69" s="163"/>
      <c r="C69" s="163"/>
      <c r="D69" s="163"/>
      <c r="E69" s="163"/>
      <c r="F69" s="190"/>
      <c r="G69" s="16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02"/>
      <c r="W69" s="102"/>
      <c r="X69" s="102"/>
      <c r="Y69" s="102"/>
      <c r="Z69" s="102"/>
    </row>
    <row r="70" ht="15.75" customHeight="1">
      <c r="A70" s="1"/>
      <c r="B70" s="163"/>
      <c r="C70" s="163"/>
      <c r="D70" s="163"/>
      <c r="E70" s="163"/>
      <c r="F70" s="190"/>
      <c r="G70" s="16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02"/>
      <c r="W70" s="102"/>
      <c r="X70" s="102"/>
      <c r="Y70" s="102"/>
      <c r="Z70" s="102"/>
    </row>
    <row r="71" ht="15.75" customHeight="1">
      <c r="A71" s="1"/>
      <c r="B71" s="163"/>
      <c r="C71" s="163"/>
      <c r="D71" s="163"/>
      <c r="E71" s="163"/>
      <c r="F71" s="190"/>
      <c r="G71" s="16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02"/>
      <c r="W71" s="102"/>
      <c r="X71" s="102"/>
      <c r="Y71" s="102"/>
      <c r="Z71" s="102"/>
    </row>
    <row r="72" ht="15.75" customHeight="1">
      <c r="A72" s="1"/>
      <c r="B72" s="163"/>
      <c r="C72" s="163"/>
      <c r="D72" s="163"/>
      <c r="E72" s="163"/>
      <c r="F72" s="190"/>
      <c r="G72" s="16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02"/>
      <c r="W72" s="102"/>
      <c r="X72" s="102"/>
      <c r="Y72" s="102"/>
      <c r="Z72" s="102"/>
    </row>
    <row r="73" ht="15.75" customHeight="1">
      <c r="A73" s="1"/>
      <c r="B73" s="163"/>
      <c r="C73" s="163"/>
      <c r="D73" s="163"/>
      <c r="E73" s="163"/>
      <c r="F73" s="190"/>
      <c r="G73" s="16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02"/>
      <c r="W73" s="102"/>
      <c r="X73" s="102"/>
      <c r="Y73" s="102"/>
      <c r="Z73" s="102"/>
    </row>
    <row r="74" ht="15.75" customHeight="1">
      <c r="A74" s="1"/>
      <c r="B74" s="163"/>
      <c r="C74" s="163"/>
      <c r="D74" s="163"/>
      <c r="E74" s="163"/>
      <c r="F74" s="190"/>
      <c r="G74" s="16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02"/>
      <c r="W74" s="102"/>
      <c r="X74" s="102"/>
      <c r="Y74" s="102"/>
      <c r="Z74" s="102"/>
    </row>
    <row r="75" ht="15.75" customHeight="1">
      <c r="A75" s="1"/>
      <c r="B75" s="163"/>
      <c r="C75" s="163"/>
      <c r="D75" s="163"/>
      <c r="E75" s="163"/>
      <c r="F75" s="190"/>
      <c r="G75" s="16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02"/>
      <c r="W75" s="102"/>
      <c r="X75" s="102"/>
      <c r="Y75" s="102"/>
      <c r="Z75" s="102"/>
    </row>
    <row r="76" ht="15.75" customHeight="1">
      <c r="A76" s="1"/>
      <c r="B76" s="163"/>
      <c r="C76" s="163"/>
      <c r="D76" s="163"/>
      <c r="E76" s="163"/>
      <c r="F76" s="190"/>
      <c r="G76" s="16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02"/>
      <c r="W76" s="102"/>
      <c r="X76" s="102"/>
      <c r="Y76" s="102"/>
      <c r="Z76" s="102"/>
    </row>
    <row r="77" ht="15.75" customHeight="1">
      <c r="A77" s="1"/>
      <c r="B77" s="163"/>
      <c r="C77" s="163"/>
      <c r="D77" s="163"/>
      <c r="E77" s="163"/>
      <c r="F77" s="190"/>
      <c r="G77" s="16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02"/>
      <c r="W77" s="102"/>
      <c r="X77" s="102"/>
      <c r="Y77" s="102"/>
      <c r="Z77" s="102"/>
    </row>
    <row r="78" ht="15.75" customHeight="1">
      <c r="A78" s="1"/>
      <c r="B78" s="163"/>
      <c r="C78" s="163"/>
      <c r="D78" s="163"/>
      <c r="E78" s="163"/>
      <c r="F78" s="190"/>
      <c r="G78" s="16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02"/>
      <c r="W78" s="102"/>
      <c r="X78" s="102"/>
      <c r="Y78" s="102"/>
      <c r="Z78" s="102"/>
    </row>
    <row r="79" ht="15.75" customHeight="1">
      <c r="A79" s="1"/>
      <c r="B79" s="163"/>
      <c r="C79" s="163"/>
      <c r="D79" s="163"/>
      <c r="E79" s="163"/>
      <c r="F79" s="190"/>
      <c r="G79" s="16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02"/>
      <c r="W79" s="102"/>
      <c r="X79" s="102"/>
      <c r="Y79" s="102"/>
      <c r="Z79" s="102"/>
    </row>
    <row r="80" ht="15.75" customHeight="1">
      <c r="A80" s="1"/>
      <c r="B80" s="163"/>
      <c r="C80" s="163"/>
      <c r="D80" s="163"/>
      <c r="E80" s="163"/>
      <c r="F80" s="190"/>
      <c r="G80" s="16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02"/>
      <c r="W80" s="102"/>
      <c r="X80" s="102"/>
      <c r="Y80" s="102"/>
      <c r="Z80" s="102"/>
    </row>
    <row r="81" ht="15.75" customHeight="1">
      <c r="A81" s="1"/>
      <c r="B81" s="163"/>
      <c r="C81" s="163"/>
      <c r="D81" s="163"/>
      <c r="E81" s="163"/>
      <c r="F81" s="190"/>
      <c r="G81" s="16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02"/>
      <c r="W81" s="102"/>
      <c r="X81" s="102"/>
      <c r="Y81" s="102"/>
      <c r="Z81" s="102"/>
    </row>
    <row r="82" ht="15.75" customHeight="1">
      <c r="A82" s="1"/>
      <c r="B82" s="163"/>
      <c r="C82" s="163"/>
      <c r="D82" s="163"/>
      <c r="E82" s="163"/>
      <c r="F82" s="190"/>
      <c r="G82" s="16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02"/>
      <c r="W82" s="102"/>
      <c r="X82" s="102"/>
      <c r="Y82" s="102"/>
      <c r="Z82" s="102"/>
    </row>
    <row r="83" ht="15.75" customHeight="1">
      <c r="A83" s="1"/>
      <c r="B83" s="163"/>
      <c r="C83" s="163"/>
      <c r="D83" s="163"/>
      <c r="E83" s="163"/>
      <c r="F83" s="190"/>
      <c r="G83" s="16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02"/>
      <c r="W83" s="102"/>
      <c r="X83" s="102"/>
      <c r="Y83" s="102"/>
      <c r="Z83" s="102"/>
    </row>
    <row r="84" ht="15.75" customHeight="1">
      <c r="A84" s="1"/>
      <c r="B84" s="163"/>
      <c r="C84" s="163"/>
      <c r="D84" s="163"/>
      <c r="E84" s="163"/>
      <c r="F84" s="190"/>
      <c r="G84" s="16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02"/>
      <c r="W84" s="102"/>
      <c r="X84" s="102"/>
      <c r="Y84" s="102"/>
      <c r="Z84" s="102"/>
    </row>
    <row r="85" ht="15.75" customHeight="1">
      <c r="A85" s="1"/>
      <c r="B85" s="163"/>
      <c r="C85" s="163"/>
      <c r="D85" s="163"/>
      <c r="E85" s="163"/>
      <c r="F85" s="190"/>
      <c r="G85" s="16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02"/>
      <c r="W85" s="102"/>
      <c r="X85" s="102"/>
      <c r="Y85" s="102"/>
      <c r="Z85" s="102"/>
    </row>
    <row r="86" ht="15.75" customHeight="1">
      <c r="A86" s="1"/>
      <c r="B86" s="163"/>
      <c r="C86" s="163"/>
      <c r="D86" s="163"/>
      <c r="E86" s="163"/>
      <c r="F86" s="190"/>
      <c r="G86" s="16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02"/>
      <c r="W86" s="102"/>
      <c r="X86" s="102"/>
      <c r="Y86" s="102"/>
      <c r="Z86" s="102"/>
    </row>
    <row r="87" ht="15.75" customHeight="1">
      <c r="A87" s="1"/>
      <c r="B87" s="163"/>
      <c r="C87" s="163"/>
      <c r="D87" s="163"/>
      <c r="E87" s="163"/>
      <c r="F87" s="190"/>
      <c r="G87" s="16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02"/>
      <c r="W87" s="102"/>
      <c r="X87" s="102"/>
      <c r="Y87" s="102"/>
      <c r="Z87" s="102"/>
    </row>
    <row r="88" ht="15.75" customHeight="1">
      <c r="A88" s="1"/>
      <c r="B88" s="163"/>
      <c r="C88" s="163"/>
      <c r="D88" s="163"/>
      <c r="E88" s="163"/>
      <c r="F88" s="190"/>
      <c r="G88" s="16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02"/>
      <c r="W88" s="102"/>
      <c r="X88" s="102"/>
      <c r="Y88" s="102"/>
      <c r="Z88" s="102"/>
    </row>
    <row r="89" ht="15.75" customHeight="1">
      <c r="A89" s="1"/>
      <c r="B89" s="163"/>
      <c r="C89" s="163"/>
      <c r="D89" s="163"/>
      <c r="E89" s="163"/>
      <c r="F89" s="190"/>
      <c r="G89" s="16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02"/>
      <c r="W89" s="102"/>
      <c r="X89" s="102"/>
      <c r="Y89" s="102"/>
      <c r="Z89" s="102"/>
    </row>
    <row r="90" ht="15.75" customHeight="1">
      <c r="A90" s="1"/>
      <c r="B90" s="163"/>
      <c r="C90" s="163"/>
      <c r="D90" s="163"/>
      <c r="E90" s="163"/>
      <c r="F90" s="190"/>
      <c r="G90" s="16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02"/>
      <c r="W90" s="102"/>
      <c r="X90" s="102"/>
      <c r="Y90" s="102"/>
      <c r="Z90" s="102"/>
    </row>
    <row r="91" ht="15.75" customHeight="1">
      <c r="A91" s="1"/>
      <c r="B91" s="163"/>
      <c r="C91" s="163"/>
      <c r="D91" s="163"/>
      <c r="E91" s="163"/>
      <c r="F91" s="190"/>
      <c r="G91" s="16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02"/>
      <c r="W91" s="102"/>
      <c r="X91" s="102"/>
      <c r="Y91" s="102"/>
      <c r="Z91" s="102"/>
    </row>
    <row r="92" ht="15.75" customHeight="1">
      <c r="A92" s="1"/>
      <c r="B92" s="163"/>
      <c r="C92" s="163"/>
      <c r="D92" s="163"/>
      <c r="E92" s="163"/>
      <c r="F92" s="190"/>
      <c r="G92" s="16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02"/>
      <c r="W92" s="102"/>
      <c r="X92" s="102"/>
      <c r="Y92" s="102"/>
      <c r="Z92" s="102"/>
    </row>
    <row r="93" ht="15.75" customHeight="1">
      <c r="A93" s="1"/>
      <c r="B93" s="163"/>
      <c r="C93" s="163"/>
      <c r="D93" s="163"/>
      <c r="E93" s="163"/>
      <c r="F93" s="190"/>
      <c r="G93" s="16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02"/>
      <c r="W93" s="102"/>
      <c r="X93" s="102"/>
      <c r="Y93" s="102"/>
      <c r="Z93" s="102"/>
    </row>
    <row r="94" ht="15.75" customHeight="1">
      <c r="A94" s="1"/>
      <c r="B94" s="163"/>
      <c r="C94" s="163"/>
      <c r="D94" s="163"/>
      <c r="E94" s="163"/>
      <c r="F94" s="190"/>
      <c r="G94" s="16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02"/>
      <c r="W94" s="102"/>
      <c r="X94" s="102"/>
      <c r="Y94" s="102"/>
      <c r="Z94" s="102"/>
    </row>
    <row r="95" ht="15.75" customHeight="1">
      <c r="A95" s="1"/>
      <c r="B95" s="163"/>
      <c r="C95" s="163"/>
      <c r="D95" s="163"/>
      <c r="E95" s="163"/>
      <c r="F95" s="190"/>
      <c r="G95" s="16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02"/>
      <c r="W95" s="102"/>
      <c r="X95" s="102"/>
      <c r="Y95" s="102"/>
      <c r="Z95" s="102"/>
    </row>
    <row r="96" ht="15.75" customHeight="1">
      <c r="A96" s="1"/>
      <c r="B96" s="163"/>
      <c r="C96" s="163"/>
      <c r="D96" s="163"/>
      <c r="E96" s="163"/>
      <c r="F96" s="190"/>
      <c r="G96" s="16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02"/>
      <c r="W96" s="102"/>
      <c r="X96" s="102"/>
      <c r="Y96" s="102"/>
      <c r="Z96" s="102"/>
    </row>
    <row r="97" ht="15.75" customHeight="1">
      <c r="A97" s="1"/>
      <c r="B97" s="163"/>
      <c r="C97" s="163"/>
      <c r="D97" s="163"/>
      <c r="E97" s="163"/>
      <c r="F97" s="190"/>
      <c r="G97" s="16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02"/>
      <c r="W97" s="102"/>
      <c r="X97" s="102"/>
      <c r="Y97" s="102"/>
      <c r="Z97" s="102"/>
    </row>
    <row r="98" ht="15.75" customHeight="1">
      <c r="A98" s="1"/>
      <c r="B98" s="163"/>
      <c r="C98" s="163"/>
      <c r="D98" s="163"/>
      <c r="E98" s="163"/>
      <c r="F98" s="190"/>
      <c r="G98" s="16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02"/>
      <c r="W98" s="102"/>
      <c r="X98" s="102"/>
      <c r="Y98" s="102"/>
      <c r="Z98" s="102"/>
    </row>
    <row r="99" ht="15.75" customHeight="1">
      <c r="A99" s="1"/>
      <c r="B99" s="163"/>
      <c r="C99" s="163"/>
      <c r="D99" s="163"/>
      <c r="E99" s="163"/>
      <c r="F99" s="190"/>
      <c r="G99" s="16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02"/>
      <c r="W99" s="102"/>
      <c r="X99" s="102"/>
      <c r="Y99" s="102"/>
      <c r="Z99" s="102"/>
    </row>
    <row r="100" ht="15.75" customHeight="1">
      <c r="A100" s="1"/>
      <c r="B100" s="163"/>
      <c r="C100" s="163"/>
      <c r="D100" s="163"/>
      <c r="E100" s="163"/>
      <c r="F100" s="190"/>
      <c r="G100" s="16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02"/>
      <c r="W100" s="102"/>
      <c r="X100" s="102"/>
      <c r="Y100" s="102"/>
      <c r="Z100" s="102"/>
    </row>
    <row r="101" ht="15.75" customHeight="1">
      <c r="A101" s="1"/>
      <c r="B101" s="163"/>
      <c r="C101" s="163"/>
      <c r="D101" s="163"/>
      <c r="E101" s="163"/>
      <c r="F101" s="190"/>
      <c r="G101" s="16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02"/>
      <c r="W101" s="102"/>
      <c r="X101" s="102"/>
      <c r="Y101" s="102"/>
      <c r="Z101" s="102"/>
    </row>
    <row r="102" ht="15.75" customHeight="1">
      <c r="A102" s="1"/>
      <c r="B102" s="163"/>
      <c r="C102" s="163"/>
      <c r="D102" s="163"/>
      <c r="E102" s="163"/>
      <c r="F102" s="190"/>
      <c r="G102" s="16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02"/>
      <c r="W102" s="102"/>
      <c r="X102" s="102"/>
      <c r="Y102" s="102"/>
      <c r="Z102" s="102"/>
    </row>
    <row r="103" ht="15.75" customHeight="1">
      <c r="A103" s="1"/>
      <c r="B103" s="163"/>
      <c r="C103" s="163"/>
      <c r="D103" s="163"/>
      <c r="E103" s="163"/>
      <c r="F103" s="190"/>
      <c r="G103" s="16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02"/>
      <c r="W103" s="102"/>
      <c r="X103" s="102"/>
      <c r="Y103" s="102"/>
      <c r="Z103" s="102"/>
    </row>
    <row r="104" ht="15.75" customHeight="1">
      <c r="A104" s="1"/>
      <c r="B104" s="163"/>
      <c r="C104" s="163"/>
      <c r="D104" s="163"/>
      <c r="E104" s="163"/>
      <c r="F104" s="190"/>
      <c r="G104" s="16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02"/>
      <c r="W104" s="102"/>
      <c r="X104" s="102"/>
      <c r="Y104" s="102"/>
      <c r="Z104" s="102"/>
    </row>
    <row r="105" ht="15.75" customHeight="1">
      <c r="A105" s="1"/>
      <c r="B105" s="163"/>
      <c r="C105" s="163"/>
      <c r="D105" s="163"/>
      <c r="E105" s="163"/>
      <c r="F105" s="190"/>
      <c r="G105" s="16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02"/>
      <c r="W105" s="102"/>
      <c r="X105" s="102"/>
      <c r="Y105" s="102"/>
      <c r="Z105" s="102"/>
    </row>
    <row r="106" ht="15.75" customHeight="1">
      <c r="A106" s="1"/>
      <c r="B106" s="163"/>
      <c r="C106" s="163"/>
      <c r="D106" s="163"/>
      <c r="E106" s="163"/>
      <c r="F106" s="190"/>
      <c r="G106" s="16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02"/>
      <c r="W106" s="102"/>
      <c r="X106" s="102"/>
      <c r="Y106" s="102"/>
      <c r="Z106" s="102"/>
    </row>
    <row r="107" ht="15.75" customHeight="1">
      <c r="A107" s="1"/>
      <c r="B107" s="163"/>
      <c r="C107" s="163"/>
      <c r="D107" s="163"/>
      <c r="E107" s="163"/>
      <c r="F107" s="190"/>
      <c r="G107" s="16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02"/>
      <c r="W107" s="102"/>
      <c r="X107" s="102"/>
      <c r="Y107" s="102"/>
      <c r="Z107" s="102"/>
    </row>
    <row r="108" ht="15.75" customHeight="1">
      <c r="A108" s="1"/>
      <c r="B108" s="163"/>
      <c r="C108" s="163"/>
      <c r="D108" s="163"/>
      <c r="E108" s="163"/>
      <c r="F108" s="190"/>
      <c r="G108" s="16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02"/>
      <c r="W108" s="102"/>
      <c r="X108" s="102"/>
      <c r="Y108" s="102"/>
      <c r="Z108" s="102"/>
    </row>
    <row r="109" ht="15.75" customHeight="1">
      <c r="A109" s="1"/>
      <c r="B109" s="163"/>
      <c r="C109" s="163"/>
      <c r="D109" s="163"/>
      <c r="E109" s="163"/>
      <c r="F109" s="190"/>
      <c r="G109" s="16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02"/>
      <c r="W109" s="102"/>
      <c r="X109" s="102"/>
      <c r="Y109" s="102"/>
      <c r="Z109" s="102"/>
    </row>
    <row r="110" ht="15.75" customHeight="1">
      <c r="A110" s="1"/>
      <c r="B110" s="163"/>
      <c r="C110" s="163"/>
      <c r="D110" s="163"/>
      <c r="E110" s="163"/>
      <c r="F110" s="190"/>
      <c r="G110" s="16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02"/>
      <c r="W110" s="102"/>
      <c r="X110" s="102"/>
      <c r="Y110" s="102"/>
      <c r="Z110" s="102"/>
    </row>
    <row r="111" ht="15.75" customHeight="1">
      <c r="A111" s="1"/>
      <c r="B111" s="163"/>
      <c r="C111" s="163"/>
      <c r="D111" s="163"/>
      <c r="E111" s="163"/>
      <c r="F111" s="190"/>
      <c r="G111" s="16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02"/>
      <c r="W111" s="102"/>
      <c r="X111" s="102"/>
      <c r="Y111" s="102"/>
      <c r="Z111" s="102"/>
    </row>
    <row r="112" ht="15.75" customHeight="1">
      <c r="A112" s="1"/>
      <c r="B112" s="163"/>
      <c r="C112" s="163"/>
      <c r="D112" s="163"/>
      <c r="E112" s="163"/>
      <c r="F112" s="190"/>
      <c r="G112" s="16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02"/>
      <c r="W112" s="102"/>
      <c r="X112" s="102"/>
      <c r="Y112" s="102"/>
      <c r="Z112" s="102"/>
    </row>
    <row r="113" ht="15.75" customHeight="1">
      <c r="A113" s="1"/>
      <c r="B113" s="163"/>
      <c r="C113" s="163"/>
      <c r="D113" s="163"/>
      <c r="E113" s="163"/>
      <c r="F113" s="190"/>
      <c r="G113" s="16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02"/>
      <c r="W113" s="102"/>
      <c r="X113" s="102"/>
      <c r="Y113" s="102"/>
      <c r="Z113" s="102"/>
    </row>
    <row r="114" ht="15.75" customHeight="1">
      <c r="A114" s="1"/>
      <c r="B114" s="163"/>
      <c r="C114" s="163"/>
      <c r="D114" s="163"/>
      <c r="E114" s="163"/>
      <c r="F114" s="190"/>
      <c r="G114" s="16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02"/>
      <c r="W114" s="102"/>
      <c r="X114" s="102"/>
      <c r="Y114" s="102"/>
      <c r="Z114" s="102"/>
    </row>
    <row r="115" ht="15.75" customHeight="1">
      <c r="A115" s="1"/>
      <c r="B115" s="163"/>
      <c r="C115" s="163"/>
      <c r="D115" s="163"/>
      <c r="E115" s="163"/>
      <c r="F115" s="190"/>
      <c r="G115" s="16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02"/>
      <c r="W115" s="102"/>
      <c r="X115" s="102"/>
      <c r="Y115" s="102"/>
      <c r="Z115" s="102"/>
    </row>
    <row r="116" ht="15.75" customHeight="1">
      <c r="A116" s="1"/>
      <c r="B116" s="163"/>
      <c r="C116" s="163"/>
      <c r="D116" s="163"/>
      <c r="E116" s="163"/>
      <c r="F116" s="190"/>
      <c r="G116" s="16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02"/>
      <c r="W116" s="102"/>
      <c r="X116" s="102"/>
      <c r="Y116" s="102"/>
      <c r="Z116" s="102"/>
    </row>
    <row r="117" ht="15.75" customHeight="1">
      <c r="A117" s="1"/>
      <c r="B117" s="163"/>
      <c r="C117" s="163"/>
      <c r="D117" s="163"/>
      <c r="E117" s="163"/>
      <c r="F117" s="190"/>
      <c r="G117" s="16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02"/>
      <c r="W117" s="102"/>
      <c r="X117" s="102"/>
      <c r="Y117" s="102"/>
      <c r="Z117" s="102"/>
    </row>
    <row r="118" ht="15.75" customHeight="1">
      <c r="A118" s="1"/>
      <c r="B118" s="163"/>
      <c r="C118" s="163"/>
      <c r="D118" s="163"/>
      <c r="E118" s="163"/>
      <c r="F118" s="190"/>
      <c r="G118" s="16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02"/>
      <c r="W118" s="102"/>
      <c r="X118" s="102"/>
      <c r="Y118" s="102"/>
      <c r="Z118" s="102"/>
    </row>
    <row r="119" ht="15.75" customHeight="1">
      <c r="A119" s="1"/>
      <c r="B119" s="163"/>
      <c r="C119" s="163"/>
      <c r="D119" s="163"/>
      <c r="E119" s="163"/>
      <c r="F119" s="190"/>
      <c r="G119" s="16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02"/>
      <c r="W119" s="102"/>
      <c r="X119" s="102"/>
      <c r="Y119" s="102"/>
      <c r="Z119" s="102"/>
    </row>
    <row r="120" ht="15.75" customHeight="1">
      <c r="A120" s="1"/>
      <c r="B120" s="163"/>
      <c r="C120" s="163"/>
      <c r="D120" s="163"/>
      <c r="E120" s="163"/>
      <c r="F120" s="190"/>
      <c r="G120" s="16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02"/>
      <c r="W120" s="102"/>
      <c r="X120" s="102"/>
      <c r="Y120" s="102"/>
      <c r="Z120" s="102"/>
    </row>
    <row r="121" ht="15.75" customHeight="1">
      <c r="A121" s="1"/>
      <c r="B121" s="163"/>
      <c r="C121" s="163"/>
      <c r="D121" s="163"/>
      <c r="E121" s="163"/>
      <c r="F121" s="190"/>
      <c r="G121" s="16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02"/>
      <c r="W121" s="102"/>
      <c r="X121" s="102"/>
      <c r="Y121" s="102"/>
      <c r="Z121" s="102"/>
    </row>
    <row r="122" ht="15.75" customHeight="1">
      <c r="A122" s="1"/>
      <c r="B122" s="163"/>
      <c r="C122" s="163"/>
      <c r="D122" s="163"/>
      <c r="E122" s="163"/>
      <c r="F122" s="190"/>
      <c r="G122" s="16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02"/>
      <c r="W122" s="102"/>
      <c r="X122" s="102"/>
      <c r="Y122" s="102"/>
      <c r="Z122" s="102"/>
    </row>
    <row r="123" ht="15.75" customHeight="1">
      <c r="A123" s="1"/>
      <c r="B123" s="163"/>
      <c r="C123" s="163"/>
      <c r="D123" s="163"/>
      <c r="E123" s="163"/>
      <c r="F123" s="190"/>
      <c r="G123" s="16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02"/>
      <c r="W123" s="102"/>
      <c r="X123" s="102"/>
      <c r="Y123" s="102"/>
      <c r="Z123" s="102"/>
    </row>
    <row r="124" ht="15.75" customHeight="1">
      <c r="A124" s="1"/>
      <c r="B124" s="163"/>
      <c r="C124" s="163"/>
      <c r="D124" s="163"/>
      <c r="E124" s="163"/>
      <c r="F124" s="190"/>
      <c r="G124" s="16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02"/>
      <c r="W124" s="102"/>
      <c r="X124" s="102"/>
      <c r="Y124" s="102"/>
      <c r="Z124" s="102"/>
    </row>
    <row r="125" ht="15.75" customHeight="1">
      <c r="A125" s="1"/>
      <c r="B125" s="163"/>
      <c r="C125" s="163"/>
      <c r="D125" s="163"/>
      <c r="E125" s="163"/>
      <c r="F125" s="190"/>
      <c r="G125" s="16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02"/>
      <c r="W125" s="102"/>
      <c r="X125" s="102"/>
      <c r="Y125" s="102"/>
      <c r="Z125" s="102"/>
    </row>
    <row r="126" ht="15.75" customHeight="1">
      <c r="A126" s="1"/>
      <c r="B126" s="163"/>
      <c r="C126" s="163"/>
      <c r="D126" s="163"/>
      <c r="E126" s="163"/>
      <c r="F126" s="190"/>
      <c r="G126" s="16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02"/>
      <c r="W126" s="102"/>
      <c r="X126" s="102"/>
      <c r="Y126" s="102"/>
      <c r="Z126" s="102"/>
    </row>
    <row r="127" ht="15.75" customHeight="1">
      <c r="A127" s="1"/>
      <c r="B127" s="163"/>
      <c r="C127" s="163"/>
      <c r="D127" s="163"/>
      <c r="E127" s="163"/>
      <c r="F127" s="190"/>
      <c r="G127" s="16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02"/>
      <c r="W127" s="102"/>
      <c r="X127" s="102"/>
      <c r="Y127" s="102"/>
      <c r="Z127" s="102"/>
    </row>
    <row r="128" ht="15.75" customHeight="1">
      <c r="A128" s="1"/>
      <c r="B128" s="163"/>
      <c r="C128" s="163"/>
      <c r="D128" s="163"/>
      <c r="E128" s="163"/>
      <c r="F128" s="190"/>
      <c r="G128" s="16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02"/>
      <c r="W128" s="102"/>
      <c r="X128" s="102"/>
      <c r="Y128" s="102"/>
      <c r="Z128" s="102"/>
    </row>
    <row r="129" ht="15.75" customHeight="1">
      <c r="A129" s="1"/>
      <c r="B129" s="163"/>
      <c r="C129" s="163"/>
      <c r="D129" s="163"/>
      <c r="E129" s="163"/>
      <c r="F129" s="190"/>
      <c r="G129" s="16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02"/>
      <c r="W129" s="102"/>
      <c r="X129" s="102"/>
      <c r="Y129" s="102"/>
      <c r="Z129" s="102"/>
    </row>
    <row r="130" ht="15.75" customHeight="1">
      <c r="A130" s="1"/>
      <c r="B130" s="163"/>
      <c r="C130" s="163"/>
      <c r="D130" s="163"/>
      <c r="E130" s="163"/>
      <c r="F130" s="190"/>
      <c r="G130" s="16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02"/>
      <c r="W130" s="102"/>
      <c r="X130" s="102"/>
      <c r="Y130" s="102"/>
      <c r="Z130" s="102"/>
    </row>
    <row r="131" ht="15.75" customHeight="1">
      <c r="A131" s="1"/>
      <c r="B131" s="163"/>
      <c r="C131" s="163"/>
      <c r="D131" s="163"/>
      <c r="E131" s="163"/>
      <c r="F131" s="190"/>
      <c r="G131" s="16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02"/>
      <c r="W131" s="102"/>
      <c r="X131" s="102"/>
      <c r="Y131" s="102"/>
      <c r="Z131" s="102"/>
    </row>
    <row r="132" ht="15.75" customHeight="1">
      <c r="A132" s="1"/>
      <c r="B132" s="163"/>
      <c r="C132" s="163"/>
      <c r="D132" s="163"/>
      <c r="E132" s="163"/>
      <c r="F132" s="190"/>
      <c r="G132" s="16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02"/>
      <c r="W132" s="102"/>
      <c r="X132" s="102"/>
      <c r="Y132" s="102"/>
      <c r="Z132" s="102"/>
    </row>
    <row r="133" ht="15.75" customHeight="1">
      <c r="A133" s="1"/>
      <c r="B133" s="163"/>
      <c r="C133" s="163"/>
      <c r="D133" s="163"/>
      <c r="E133" s="163"/>
      <c r="F133" s="190"/>
      <c r="G133" s="16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02"/>
      <c r="W133" s="102"/>
      <c r="X133" s="102"/>
      <c r="Y133" s="102"/>
      <c r="Z133" s="102"/>
    </row>
    <row r="134" ht="15.75" customHeight="1">
      <c r="A134" s="1"/>
      <c r="B134" s="163"/>
      <c r="C134" s="163"/>
      <c r="D134" s="163"/>
      <c r="E134" s="163"/>
      <c r="F134" s="190"/>
      <c r="G134" s="16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02"/>
      <c r="W134" s="102"/>
      <c r="X134" s="102"/>
      <c r="Y134" s="102"/>
      <c r="Z134" s="102"/>
    </row>
    <row r="135" ht="15.75" customHeight="1">
      <c r="A135" s="1"/>
      <c r="B135" s="163"/>
      <c r="C135" s="163"/>
      <c r="D135" s="163"/>
      <c r="E135" s="163"/>
      <c r="F135" s="190"/>
      <c r="G135" s="16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02"/>
      <c r="W135" s="102"/>
      <c r="X135" s="102"/>
      <c r="Y135" s="102"/>
      <c r="Z135" s="102"/>
    </row>
    <row r="136" ht="15.75" customHeight="1">
      <c r="A136" s="1"/>
      <c r="B136" s="163"/>
      <c r="C136" s="163"/>
      <c r="D136" s="163"/>
      <c r="E136" s="163"/>
      <c r="F136" s="190"/>
      <c r="G136" s="16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02"/>
      <c r="W136" s="102"/>
      <c r="X136" s="102"/>
      <c r="Y136" s="102"/>
      <c r="Z136" s="102"/>
    </row>
    <row r="137" ht="15.75" customHeight="1">
      <c r="A137" s="1"/>
      <c r="B137" s="163"/>
      <c r="C137" s="163"/>
      <c r="D137" s="163"/>
      <c r="E137" s="163"/>
      <c r="F137" s="190"/>
      <c r="G137" s="16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02"/>
      <c r="W137" s="102"/>
      <c r="X137" s="102"/>
      <c r="Y137" s="102"/>
      <c r="Z137" s="102"/>
    </row>
    <row r="138" ht="15.75" customHeight="1">
      <c r="A138" s="1"/>
      <c r="B138" s="163"/>
      <c r="C138" s="163"/>
      <c r="D138" s="163"/>
      <c r="E138" s="163"/>
      <c r="F138" s="190"/>
      <c r="G138" s="16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02"/>
      <c r="W138" s="102"/>
      <c r="X138" s="102"/>
      <c r="Y138" s="102"/>
      <c r="Z138" s="102"/>
    </row>
    <row r="139" ht="15.75" customHeight="1">
      <c r="A139" s="1"/>
      <c r="B139" s="163"/>
      <c r="C139" s="163"/>
      <c r="D139" s="163"/>
      <c r="E139" s="163"/>
      <c r="F139" s="190"/>
      <c r="G139" s="16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02"/>
      <c r="W139" s="102"/>
      <c r="X139" s="102"/>
      <c r="Y139" s="102"/>
      <c r="Z139" s="102"/>
    </row>
    <row r="140" ht="15.75" customHeight="1">
      <c r="A140" s="1"/>
      <c r="B140" s="163"/>
      <c r="C140" s="163"/>
      <c r="D140" s="163"/>
      <c r="E140" s="163"/>
      <c r="F140" s="190"/>
      <c r="G140" s="16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02"/>
      <c r="W140" s="102"/>
      <c r="X140" s="102"/>
      <c r="Y140" s="102"/>
      <c r="Z140" s="102"/>
    </row>
    <row r="141" ht="15.75" customHeight="1">
      <c r="A141" s="1"/>
      <c r="B141" s="163"/>
      <c r="C141" s="163"/>
      <c r="D141" s="163"/>
      <c r="E141" s="163"/>
      <c r="F141" s="190"/>
      <c r="G141" s="16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02"/>
      <c r="W141" s="102"/>
      <c r="X141" s="102"/>
      <c r="Y141" s="102"/>
      <c r="Z141" s="102"/>
    </row>
    <row r="142" ht="15.75" customHeight="1">
      <c r="A142" s="1"/>
      <c r="B142" s="163"/>
      <c r="C142" s="163"/>
      <c r="D142" s="163"/>
      <c r="E142" s="163"/>
      <c r="F142" s="190"/>
      <c r="G142" s="16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02"/>
      <c r="W142" s="102"/>
      <c r="X142" s="102"/>
      <c r="Y142" s="102"/>
      <c r="Z142" s="102"/>
    </row>
    <row r="143" ht="15.75" customHeight="1">
      <c r="A143" s="1"/>
      <c r="B143" s="163"/>
      <c r="C143" s="163"/>
      <c r="D143" s="163"/>
      <c r="E143" s="163"/>
      <c r="F143" s="190"/>
      <c r="G143" s="16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02"/>
      <c r="W143" s="102"/>
      <c r="X143" s="102"/>
      <c r="Y143" s="102"/>
      <c r="Z143" s="102"/>
    </row>
    <row r="144" ht="15.75" customHeight="1">
      <c r="A144" s="1"/>
      <c r="B144" s="163"/>
      <c r="C144" s="163"/>
      <c r="D144" s="163"/>
      <c r="E144" s="163"/>
      <c r="F144" s="190"/>
      <c r="G144" s="16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02"/>
      <c r="W144" s="102"/>
      <c r="X144" s="102"/>
      <c r="Y144" s="102"/>
      <c r="Z144" s="102"/>
    </row>
    <row r="145" ht="15.75" customHeight="1">
      <c r="A145" s="1"/>
      <c r="B145" s="163"/>
      <c r="C145" s="163"/>
      <c r="D145" s="163"/>
      <c r="E145" s="163"/>
      <c r="F145" s="190"/>
      <c r="G145" s="16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02"/>
      <c r="W145" s="102"/>
      <c r="X145" s="102"/>
      <c r="Y145" s="102"/>
      <c r="Z145" s="102"/>
    </row>
    <row r="146" ht="15.75" customHeight="1">
      <c r="A146" s="1"/>
      <c r="B146" s="163"/>
      <c r="C146" s="163"/>
      <c r="D146" s="163"/>
      <c r="E146" s="163"/>
      <c r="F146" s="190"/>
      <c r="G146" s="16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02"/>
      <c r="W146" s="102"/>
      <c r="X146" s="102"/>
      <c r="Y146" s="102"/>
      <c r="Z146" s="102"/>
    </row>
    <row r="147" ht="15.75" customHeight="1">
      <c r="A147" s="1"/>
      <c r="B147" s="163"/>
      <c r="C147" s="163"/>
      <c r="D147" s="163"/>
      <c r="E147" s="163"/>
      <c r="F147" s="190"/>
      <c r="G147" s="16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02"/>
      <c r="W147" s="102"/>
      <c r="X147" s="102"/>
      <c r="Y147" s="102"/>
      <c r="Z147" s="102"/>
    </row>
    <row r="148" ht="15.75" customHeight="1">
      <c r="A148" s="1"/>
      <c r="B148" s="163"/>
      <c r="C148" s="163"/>
      <c r="D148" s="163"/>
      <c r="E148" s="163"/>
      <c r="F148" s="190"/>
      <c r="G148" s="16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02"/>
      <c r="W148" s="102"/>
      <c r="X148" s="102"/>
      <c r="Y148" s="102"/>
      <c r="Z148" s="102"/>
    </row>
    <row r="149" ht="15.75" customHeight="1">
      <c r="A149" s="1"/>
      <c r="B149" s="163"/>
      <c r="C149" s="163"/>
      <c r="D149" s="163"/>
      <c r="E149" s="163"/>
      <c r="F149" s="190"/>
      <c r="G149" s="16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02"/>
      <c r="W149" s="102"/>
      <c r="X149" s="102"/>
      <c r="Y149" s="102"/>
      <c r="Z149" s="102"/>
    </row>
    <row r="150" ht="15.75" customHeight="1">
      <c r="A150" s="1"/>
      <c r="B150" s="163"/>
      <c r="C150" s="163"/>
      <c r="D150" s="163"/>
      <c r="E150" s="163"/>
      <c r="F150" s="190"/>
      <c r="G150" s="16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02"/>
      <c r="W150" s="102"/>
      <c r="X150" s="102"/>
      <c r="Y150" s="102"/>
      <c r="Z150" s="102"/>
    </row>
    <row r="151" ht="15.75" customHeight="1">
      <c r="A151" s="1"/>
      <c r="B151" s="163"/>
      <c r="C151" s="163"/>
      <c r="D151" s="163"/>
      <c r="E151" s="163"/>
      <c r="F151" s="190"/>
      <c r="G151" s="16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02"/>
      <c r="W151" s="102"/>
      <c r="X151" s="102"/>
      <c r="Y151" s="102"/>
      <c r="Z151" s="102"/>
    </row>
    <row r="152" ht="15.75" customHeight="1">
      <c r="A152" s="1"/>
      <c r="B152" s="163"/>
      <c r="C152" s="163"/>
      <c r="D152" s="163"/>
      <c r="E152" s="163"/>
      <c r="F152" s="190"/>
      <c r="G152" s="16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02"/>
      <c r="W152" s="102"/>
      <c r="X152" s="102"/>
      <c r="Y152" s="102"/>
      <c r="Z152" s="102"/>
    </row>
    <row r="153" ht="15.75" customHeight="1">
      <c r="A153" s="1"/>
      <c r="B153" s="163"/>
      <c r="C153" s="163"/>
      <c r="D153" s="163"/>
      <c r="E153" s="163"/>
      <c r="F153" s="190"/>
      <c r="G153" s="16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02"/>
      <c r="W153" s="102"/>
      <c r="X153" s="102"/>
      <c r="Y153" s="102"/>
      <c r="Z153" s="102"/>
    </row>
    <row r="154" ht="15.75" customHeight="1">
      <c r="A154" s="1"/>
      <c r="B154" s="163"/>
      <c r="C154" s="163"/>
      <c r="D154" s="163"/>
      <c r="E154" s="163"/>
      <c r="F154" s="190"/>
      <c r="G154" s="16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02"/>
      <c r="W154" s="102"/>
      <c r="X154" s="102"/>
      <c r="Y154" s="102"/>
      <c r="Z154" s="102"/>
    </row>
    <row r="155" ht="15.75" customHeight="1">
      <c r="A155" s="1"/>
      <c r="B155" s="163"/>
      <c r="C155" s="163"/>
      <c r="D155" s="163"/>
      <c r="E155" s="163"/>
      <c r="F155" s="190"/>
      <c r="G155" s="16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02"/>
      <c r="W155" s="102"/>
      <c r="X155" s="102"/>
      <c r="Y155" s="102"/>
      <c r="Z155" s="102"/>
    </row>
    <row r="156" ht="15.75" customHeight="1">
      <c r="A156" s="1"/>
      <c r="B156" s="163"/>
      <c r="C156" s="163"/>
      <c r="D156" s="163"/>
      <c r="E156" s="163"/>
      <c r="F156" s="190"/>
      <c r="G156" s="16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02"/>
      <c r="W156" s="102"/>
      <c r="X156" s="102"/>
      <c r="Y156" s="102"/>
      <c r="Z156" s="102"/>
    </row>
    <row r="157" ht="15.75" customHeight="1">
      <c r="A157" s="1"/>
      <c r="B157" s="163"/>
      <c r="C157" s="163"/>
      <c r="D157" s="163"/>
      <c r="E157" s="163"/>
      <c r="F157" s="190"/>
      <c r="G157" s="16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02"/>
      <c r="W157" s="102"/>
      <c r="X157" s="102"/>
      <c r="Y157" s="102"/>
      <c r="Z157" s="102"/>
    </row>
    <row r="158" ht="15.75" customHeight="1">
      <c r="A158" s="1"/>
      <c r="B158" s="163"/>
      <c r="C158" s="163"/>
      <c r="D158" s="163"/>
      <c r="E158" s="163"/>
      <c r="F158" s="190"/>
      <c r="G158" s="16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02"/>
      <c r="W158" s="102"/>
      <c r="X158" s="102"/>
      <c r="Y158" s="102"/>
      <c r="Z158" s="102"/>
    </row>
    <row r="159" ht="15.75" customHeight="1">
      <c r="A159" s="1"/>
      <c r="B159" s="163"/>
      <c r="C159" s="163"/>
      <c r="D159" s="163"/>
      <c r="E159" s="163"/>
      <c r="F159" s="190"/>
      <c r="G159" s="16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02"/>
      <c r="W159" s="102"/>
      <c r="X159" s="102"/>
      <c r="Y159" s="102"/>
      <c r="Z159" s="102"/>
    </row>
    <row r="160" ht="15.75" customHeight="1">
      <c r="A160" s="1"/>
      <c r="B160" s="163"/>
      <c r="C160" s="163"/>
      <c r="D160" s="163"/>
      <c r="E160" s="163"/>
      <c r="F160" s="190"/>
      <c r="G160" s="16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02"/>
      <c r="W160" s="102"/>
      <c r="X160" s="102"/>
      <c r="Y160" s="102"/>
      <c r="Z160" s="102"/>
    </row>
    <row r="161" ht="15.75" customHeight="1">
      <c r="A161" s="1"/>
      <c r="B161" s="163"/>
      <c r="C161" s="163"/>
      <c r="D161" s="163"/>
      <c r="E161" s="163"/>
      <c r="F161" s="190"/>
      <c r="G161" s="16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02"/>
      <c r="W161" s="102"/>
      <c r="X161" s="102"/>
      <c r="Y161" s="102"/>
      <c r="Z161" s="102"/>
    </row>
    <row r="162" ht="15.75" customHeight="1">
      <c r="A162" s="1"/>
      <c r="B162" s="163"/>
      <c r="C162" s="163"/>
      <c r="D162" s="163"/>
      <c r="E162" s="163"/>
      <c r="F162" s="190"/>
      <c r="G162" s="16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02"/>
      <c r="W162" s="102"/>
      <c r="X162" s="102"/>
      <c r="Y162" s="102"/>
      <c r="Z162" s="102"/>
    </row>
    <row r="163" ht="15.75" customHeight="1">
      <c r="A163" s="1"/>
      <c r="B163" s="163"/>
      <c r="C163" s="163"/>
      <c r="D163" s="163"/>
      <c r="E163" s="163"/>
      <c r="F163" s="190"/>
      <c r="G163" s="16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02"/>
      <c r="W163" s="102"/>
      <c r="X163" s="102"/>
      <c r="Y163" s="102"/>
      <c r="Z163" s="102"/>
    </row>
    <row r="164" ht="15.75" customHeight="1">
      <c r="A164" s="1"/>
      <c r="B164" s="163"/>
      <c r="C164" s="163"/>
      <c r="D164" s="163"/>
      <c r="E164" s="163"/>
      <c r="F164" s="190"/>
      <c r="G164" s="16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02"/>
      <c r="W164" s="102"/>
      <c r="X164" s="102"/>
      <c r="Y164" s="102"/>
      <c r="Z164" s="102"/>
    </row>
    <row r="165" ht="15.75" customHeight="1">
      <c r="A165" s="1"/>
      <c r="B165" s="163"/>
      <c r="C165" s="163"/>
      <c r="D165" s="163"/>
      <c r="E165" s="163"/>
      <c r="F165" s="190"/>
      <c r="G165" s="16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02"/>
      <c r="W165" s="102"/>
      <c r="X165" s="102"/>
      <c r="Y165" s="102"/>
      <c r="Z165" s="102"/>
    </row>
    <row r="166" ht="15.75" customHeight="1">
      <c r="A166" s="1"/>
      <c r="B166" s="163"/>
      <c r="C166" s="163"/>
      <c r="D166" s="163"/>
      <c r="E166" s="163"/>
      <c r="F166" s="190"/>
      <c r="G166" s="16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02"/>
      <c r="W166" s="102"/>
      <c r="X166" s="102"/>
      <c r="Y166" s="102"/>
      <c r="Z166" s="102"/>
    </row>
    <row r="167" ht="15.75" customHeight="1">
      <c r="A167" s="1"/>
      <c r="B167" s="163"/>
      <c r="C167" s="163"/>
      <c r="D167" s="163"/>
      <c r="E167" s="163"/>
      <c r="F167" s="190"/>
      <c r="G167" s="16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02"/>
      <c r="W167" s="102"/>
      <c r="X167" s="102"/>
      <c r="Y167" s="102"/>
      <c r="Z167" s="102"/>
    </row>
    <row r="168" ht="15.75" customHeight="1">
      <c r="A168" s="1"/>
      <c r="B168" s="163"/>
      <c r="C168" s="163"/>
      <c r="D168" s="163"/>
      <c r="E168" s="163"/>
      <c r="F168" s="190"/>
      <c r="G168" s="16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02"/>
      <c r="W168" s="102"/>
      <c r="X168" s="102"/>
      <c r="Y168" s="102"/>
      <c r="Z168" s="102"/>
    </row>
    <row r="169" ht="15.75" customHeight="1">
      <c r="A169" s="1"/>
      <c r="B169" s="163"/>
      <c r="C169" s="163"/>
      <c r="D169" s="163"/>
      <c r="E169" s="163"/>
      <c r="F169" s="190"/>
      <c r="G169" s="16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02"/>
      <c r="W169" s="102"/>
      <c r="X169" s="102"/>
      <c r="Y169" s="102"/>
      <c r="Z169" s="102"/>
    </row>
    <row r="170" ht="15.75" customHeight="1">
      <c r="A170" s="1"/>
      <c r="B170" s="163"/>
      <c r="C170" s="163"/>
      <c r="D170" s="163"/>
      <c r="E170" s="163"/>
      <c r="F170" s="190"/>
      <c r="G170" s="16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02"/>
      <c r="W170" s="102"/>
      <c r="X170" s="102"/>
      <c r="Y170" s="102"/>
      <c r="Z170" s="102"/>
    </row>
    <row r="171" ht="15.75" customHeight="1">
      <c r="A171" s="1"/>
      <c r="B171" s="163"/>
      <c r="C171" s="163"/>
      <c r="D171" s="163"/>
      <c r="E171" s="163"/>
      <c r="F171" s="190"/>
      <c r="G171" s="16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02"/>
      <c r="W171" s="102"/>
      <c r="X171" s="102"/>
      <c r="Y171" s="102"/>
      <c r="Z171" s="102"/>
    </row>
    <row r="172" ht="15.75" customHeight="1">
      <c r="A172" s="1"/>
      <c r="B172" s="163"/>
      <c r="C172" s="163"/>
      <c r="D172" s="163"/>
      <c r="E172" s="163"/>
      <c r="F172" s="190"/>
      <c r="G172" s="16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02"/>
      <c r="W172" s="102"/>
      <c r="X172" s="102"/>
      <c r="Y172" s="102"/>
      <c r="Z172" s="102"/>
    </row>
    <row r="173" ht="15.75" customHeight="1">
      <c r="A173" s="1"/>
      <c r="B173" s="163"/>
      <c r="C173" s="163"/>
      <c r="D173" s="163"/>
      <c r="E173" s="163"/>
      <c r="F173" s="190"/>
      <c r="G173" s="16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02"/>
      <c r="W173" s="102"/>
      <c r="X173" s="102"/>
      <c r="Y173" s="102"/>
      <c r="Z173" s="102"/>
    </row>
    <row r="174" ht="15.75" customHeight="1">
      <c r="A174" s="1"/>
      <c r="B174" s="163"/>
      <c r="C174" s="163"/>
      <c r="D174" s="163"/>
      <c r="E174" s="163"/>
      <c r="F174" s="190"/>
      <c r="G174" s="16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02"/>
      <c r="W174" s="102"/>
      <c r="X174" s="102"/>
      <c r="Y174" s="102"/>
      <c r="Z174" s="102"/>
    </row>
    <row r="175" ht="15.75" customHeight="1">
      <c r="A175" s="1"/>
      <c r="B175" s="163"/>
      <c r="C175" s="163"/>
      <c r="D175" s="163"/>
      <c r="E175" s="163"/>
      <c r="F175" s="190"/>
      <c r="G175" s="16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02"/>
      <c r="W175" s="102"/>
      <c r="X175" s="102"/>
      <c r="Y175" s="102"/>
      <c r="Z175" s="102"/>
    </row>
    <row r="176" ht="15.75" customHeight="1">
      <c r="A176" s="1"/>
      <c r="B176" s="163"/>
      <c r="C176" s="163"/>
      <c r="D176" s="163"/>
      <c r="E176" s="163"/>
      <c r="F176" s="190"/>
      <c r="G176" s="16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02"/>
      <c r="W176" s="102"/>
      <c r="X176" s="102"/>
      <c r="Y176" s="102"/>
      <c r="Z176" s="102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102"/>
      <c r="W177" s="102"/>
      <c r="X177" s="102"/>
      <c r="Y177" s="102"/>
      <c r="Z177" s="102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102"/>
      <c r="W178" s="102"/>
      <c r="X178" s="102"/>
      <c r="Y178" s="102"/>
      <c r="Z178" s="102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102"/>
      <c r="W179" s="102"/>
      <c r="X179" s="102"/>
      <c r="Y179" s="102"/>
      <c r="Z179" s="102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102"/>
      <c r="W180" s="102"/>
      <c r="X180" s="102"/>
      <c r="Y180" s="102"/>
      <c r="Z180" s="102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102"/>
      <c r="W181" s="102"/>
      <c r="X181" s="102"/>
      <c r="Y181" s="102"/>
      <c r="Z181" s="102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102"/>
      <c r="W182" s="102"/>
      <c r="X182" s="102"/>
      <c r="Y182" s="102"/>
      <c r="Z182" s="102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102"/>
      <c r="W183" s="102"/>
      <c r="X183" s="102"/>
      <c r="Y183" s="102"/>
      <c r="Z183" s="102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102"/>
      <c r="W184" s="102"/>
      <c r="X184" s="102"/>
      <c r="Y184" s="102"/>
      <c r="Z184" s="102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102"/>
      <c r="W185" s="102"/>
      <c r="X185" s="102"/>
      <c r="Y185" s="102"/>
      <c r="Z185" s="102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102"/>
      <c r="W186" s="102"/>
      <c r="X186" s="102"/>
      <c r="Y186" s="102"/>
      <c r="Z186" s="102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102"/>
      <c r="W187" s="102"/>
      <c r="X187" s="102"/>
      <c r="Y187" s="102"/>
      <c r="Z187" s="102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102"/>
      <c r="W188" s="102"/>
      <c r="X188" s="102"/>
      <c r="Y188" s="102"/>
      <c r="Z188" s="102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102"/>
      <c r="W189" s="102"/>
      <c r="X189" s="102"/>
      <c r="Y189" s="102"/>
      <c r="Z189" s="102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102"/>
      <c r="W190" s="102"/>
      <c r="X190" s="102"/>
      <c r="Y190" s="102"/>
      <c r="Z190" s="102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102"/>
      <c r="W191" s="102"/>
      <c r="X191" s="102"/>
      <c r="Y191" s="102"/>
      <c r="Z191" s="102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102"/>
      <c r="W192" s="102"/>
      <c r="X192" s="102"/>
      <c r="Y192" s="102"/>
      <c r="Z192" s="102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102"/>
      <c r="W193" s="102"/>
      <c r="X193" s="102"/>
      <c r="Y193" s="102"/>
      <c r="Z193" s="102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102"/>
      <c r="W194" s="102"/>
      <c r="X194" s="102"/>
      <c r="Y194" s="102"/>
      <c r="Z194" s="102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102"/>
      <c r="W195" s="102"/>
      <c r="X195" s="102"/>
      <c r="Y195" s="102"/>
      <c r="Z195" s="102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102"/>
      <c r="W196" s="102"/>
      <c r="X196" s="102"/>
      <c r="Y196" s="102"/>
      <c r="Z196" s="102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102"/>
      <c r="W197" s="102"/>
      <c r="X197" s="102"/>
      <c r="Y197" s="102"/>
      <c r="Z197" s="102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102"/>
      <c r="W198" s="102"/>
      <c r="X198" s="102"/>
      <c r="Y198" s="102"/>
      <c r="Z198" s="102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102"/>
      <c r="W199" s="102"/>
      <c r="X199" s="102"/>
      <c r="Y199" s="102"/>
      <c r="Z199" s="102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102"/>
      <c r="W200" s="102"/>
      <c r="X200" s="102"/>
      <c r="Y200" s="102"/>
      <c r="Z200" s="102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102"/>
      <c r="W201" s="102"/>
      <c r="X201" s="102"/>
      <c r="Y201" s="102"/>
      <c r="Z201" s="102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102"/>
      <c r="W202" s="102"/>
      <c r="X202" s="102"/>
      <c r="Y202" s="102"/>
      <c r="Z202" s="102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102"/>
      <c r="W203" s="102"/>
      <c r="X203" s="102"/>
      <c r="Y203" s="102"/>
      <c r="Z203" s="102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102"/>
      <c r="W204" s="102"/>
      <c r="X204" s="102"/>
      <c r="Y204" s="102"/>
      <c r="Z204" s="102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102"/>
      <c r="W205" s="102"/>
      <c r="X205" s="102"/>
      <c r="Y205" s="102"/>
      <c r="Z205" s="102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102"/>
      <c r="W206" s="102"/>
      <c r="X206" s="102"/>
      <c r="Y206" s="102"/>
      <c r="Z206" s="102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102"/>
      <c r="W207" s="102"/>
      <c r="X207" s="102"/>
      <c r="Y207" s="102"/>
      <c r="Z207" s="102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102"/>
      <c r="W208" s="102"/>
      <c r="X208" s="102"/>
      <c r="Y208" s="102"/>
      <c r="Z208" s="102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102"/>
      <c r="W209" s="102"/>
      <c r="X209" s="102"/>
      <c r="Y209" s="102"/>
      <c r="Z209" s="102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102"/>
      <c r="W210" s="102"/>
      <c r="X210" s="102"/>
      <c r="Y210" s="102"/>
      <c r="Z210" s="102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102"/>
      <c r="W211" s="102"/>
      <c r="X211" s="102"/>
      <c r="Y211" s="102"/>
      <c r="Z211" s="102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102"/>
      <c r="W212" s="102"/>
      <c r="X212" s="102"/>
      <c r="Y212" s="102"/>
      <c r="Z212" s="102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102"/>
      <c r="W213" s="102"/>
      <c r="X213" s="102"/>
      <c r="Y213" s="102"/>
      <c r="Z213" s="102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102"/>
      <c r="W214" s="102"/>
      <c r="X214" s="102"/>
      <c r="Y214" s="102"/>
      <c r="Z214" s="102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102"/>
      <c r="W215" s="102"/>
      <c r="X215" s="102"/>
      <c r="Y215" s="102"/>
      <c r="Z215" s="102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102"/>
      <c r="W216" s="102"/>
      <c r="X216" s="102"/>
      <c r="Y216" s="102"/>
      <c r="Z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5.75" customHeight="1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ht="15.75" customHeight="1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ht="15.75" customHeight="1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ht="15.75" customHeight="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ht="15.75" customHeight="1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ht="15.75" customHeight="1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ht="15.75" customHeight="1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ht="15.75" customHeight="1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ht="15.75" customHeight="1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ht="15.75" customHeight="1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ht="15.75" customHeight="1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ht="15.75" customHeight="1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ht="15.75" customHeight="1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ht="15.75" customHeight="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ht="15.75" customHeight="1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ht="15.75" customHeight="1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ht="15.75" customHeight="1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ht="15.75" customHeight="1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ht="15.75" customHeight="1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ht="15.75" customHeight="1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ht="15.75" customHeight="1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ht="15.75" customHeight="1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ht="15.75" customHeight="1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ht="15.75" customHeight="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ht="15.75" customHeight="1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ht="15.75" customHeight="1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ht="15.75" customHeight="1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ht="15.75" customHeight="1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ht="15.75" customHeight="1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ht="15.75" customHeight="1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15.75" customHeight="1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15.75" customHeight="1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15.75" customHeight="1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5.75" customHeight="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ht="15.75" customHeight="1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ht="15.75" customHeight="1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ht="15.75" customHeight="1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ht="15.75" customHeight="1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ht="15.75" customHeight="1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ht="15.75" customHeight="1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ht="15.75" customHeight="1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ht="15.75" customHeight="1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ht="15.75" customHeight="1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ht="15.75" customHeight="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ht="15.75" customHeight="1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ht="15.75" customHeight="1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ht="15.75" customHeight="1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ht="15.75" customHeight="1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ht="15.75" customHeight="1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ht="15.75" customHeight="1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ht="15.75" customHeight="1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ht="15.75" customHeight="1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ht="15.75" customHeight="1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ht="15.75" customHeight="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ht="15.75" customHeight="1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ht="15.75" customHeight="1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ht="15.75" customHeight="1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ht="15.75" customHeight="1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ht="15.75" customHeight="1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ht="15.75" customHeight="1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ht="15.75" customHeight="1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ht="15.75" customHeight="1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ht="15.75" customHeight="1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ht="15.75" customHeight="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ht="15.75" customHeight="1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ht="15.75" customHeight="1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ht="15.75" customHeight="1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ht="15.75" customHeight="1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ht="15.75" customHeight="1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ht="15.75" customHeight="1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ht="15.75" customHeight="1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ht="15.75" customHeight="1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ht="15.75" customHeight="1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ht="15.75" customHeight="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ht="15.75" customHeight="1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ht="15.75" customHeight="1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ht="15.75" customHeight="1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ht="15.75" customHeight="1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ht="15.75" customHeight="1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ht="15.75" customHeight="1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ht="15.75" customHeight="1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ht="15.75" customHeight="1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ht="15.75" customHeight="1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ht="15.75" customHeight="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ht="15.75" customHeight="1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ht="15.75" customHeight="1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ht="15.75" customHeight="1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ht="15.75" customHeight="1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ht="15.75" customHeight="1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ht="15.75" customHeight="1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ht="15.75" customHeight="1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ht="15.75" customHeight="1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ht="15.75" customHeight="1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ht="15.75" customHeight="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ht="15.75" customHeight="1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ht="15.75" customHeight="1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ht="15.75" customHeight="1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ht="15.75" customHeight="1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ht="15.75" customHeight="1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ht="15.75" customHeight="1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ht="15.75" customHeight="1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ht="15.75" customHeight="1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ht="15.75" customHeight="1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ht="15.75" customHeight="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ht="15.75" customHeight="1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ht="15.75" customHeight="1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ht="15.75" customHeight="1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ht="15.75" customHeight="1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ht="15.75" customHeight="1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ht="15.75" customHeight="1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ht="15.75" customHeight="1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ht="15.75" customHeight="1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ht="15.75" customHeight="1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ht="15.75" customHeight="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ht="15.75" customHeight="1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ht="15.75" customHeight="1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ht="15.75" customHeight="1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ht="15.75" customHeight="1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ht="15.75" customHeight="1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ht="15.75" customHeight="1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ht="15.75" customHeight="1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ht="15.75" customHeight="1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ht="15.75" customHeight="1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ht="15.75" customHeight="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ht="15.75" customHeight="1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ht="15.75" customHeight="1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ht="15.75" customHeight="1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ht="15.75" customHeight="1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ht="15.75" customHeight="1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ht="15.75" customHeight="1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ht="15.75" customHeight="1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ht="15.75" customHeight="1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ht="15.75" customHeight="1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ht="15.75" customHeight="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ht="15.75" customHeight="1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ht="15.75" customHeight="1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ht="15.75" customHeight="1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ht="15.75" customHeight="1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ht="15.75" customHeight="1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ht="15.75" customHeight="1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ht="15.75" customHeight="1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ht="15.75" customHeight="1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ht="15.75" customHeight="1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ht="15.75" customHeight="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ht="15.75" customHeight="1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ht="15.75" customHeight="1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ht="15.75" customHeight="1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ht="15.75" customHeight="1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ht="15.75" customHeight="1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ht="15.75" customHeight="1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ht="15.75" customHeight="1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ht="15.75" customHeight="1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ht="15.75" customHeight="1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ht="15.75" customHeight="1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ht="15.75" customHeight="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ht="15.75" customHeight="1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ht="15.75" customHeight="1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ht="15.75" customHeight="1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ht="15.75" customHeight="1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ht="15.75" customHeight="1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ht="15.75" customHeight="1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ht="15.75" customHeight="1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ht="15.75" customHeight="1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ht="15.75" customHeight="1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ht="15.75" customHeight="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ht="15.75" customHeight="1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ht="15.75" customHeight="1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ht="15.75" customHeight="1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ht="15.75" customHeight="1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ht="15.75" customHeight="1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ht="15.75" customHeight="1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ht="15.75" customHeight="1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ht="15.75" customHeight="1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ht="15.75" customHeight="1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ht="15.75" customHeight="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ht="15.75" customHeight="1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ht="15.75" customHeight="1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ht="15.75" customHeight="1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ht="15.75" customHeight="1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ht="15.75" customHeight="1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ht="15.75" customHeight="1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ht="15.75" customHeight="1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ht="15.75" customHeight="1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ht="15.75" customHeight="1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ht="15.75" customHeight="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ht="15.75" customHeight="1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ht="15.75" customHeight="1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ht="15.75" customHeight="1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ht="15.75" customHeight="1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ht="15.75" customHeight="1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ht="15.75" customHeight="1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ht="15.75" customHeight="1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ht="15.75" customHeight="1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ht="15.75" customHeight="1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ht="15.75" customHeight="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ht="15.75" customHeight="1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ht="15.75" customHeight="1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5.75" customHeight="1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ht="15.75" customHeight="1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ht="15.75" customHeight="1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ht="15.75" customHeight="1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ht="15.75" customHeight="1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ht="15.75" customHeight="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ht="15.75" customHeight="1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ht="15.75" customHeight="1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ht="15.75" customHeight="1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ht="15.75" customHeight="1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ht="15.75" customHeight="1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ht="15.75" customHeight="1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ht="15.75" customHeight="1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ht="15.75" customHeight="1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ht="15.75" customHeight="1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ht="15.75" customHeight="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ht="15.75" customHeight="1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ht="15.75" customHeight="1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ht="15.75" customHeight="1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ht="15.75" customHeight="1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ht="15.75" customHeight="1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ht="15.75" customHeight="1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ht="15.75" customHeight="1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ht="15.75" customHeight="1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ht="15.75" customHeight="1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ht="15.75" customHeight="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ht="15.75" customHeight="1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ht="15.75" customHeight="1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ht="15.75" customHeight="1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ht="15.75" customHeight="1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ht="15.75" customHeight="1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ht="15.75" customHeight="1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ht="15.75" customHeight="1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ht="15.75" customHeight="1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ht="15.75" customHeight="1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ht="15.75" customHeight="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ht="15.75" customHeight="1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5.75" customHeight="1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ht="15.75" customHeight="1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ht="15.75" customHeight="1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5.75" customHeight="1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ht="15.75" customHeight="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ht="15.75" customHeight="1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ht="15.75" customHeight="1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ht="15.75" customHeight="1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ht="15.75" customHeight="1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ht="15.75" customHeight="1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ht="15.75" customHeight="1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ht="15.75" customHeight="1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ht="15.75" customHeight="1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ht="15.75" customHeight="1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ht="15.75" customHeight="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ht="15.75" customHeight="1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ht="15.75" customHeight="1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ht="15.75" customHeight="1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ht="15.75" customHeight="1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ht="15.75" customHeight="1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ht="15.75" customHeight="1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ht="15.75" customHeight="1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ht="15.75" customHeight="1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ht="15.75" customHeight="1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ht="15.75" customHeight="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ht="15.75" customHeight="1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ht="15.75" customHeight="1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ht="15.75" customHeight="1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ht="15.75" customHeight="1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ht="15.75" customHeight="1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ht="15.75" customHeight="1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ht="15.75" customHeight="1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ht="15.75" customHeight="1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ht="15.75" customHeight="1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ht="15.75" customHeight="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ht="15.75" customHeight="1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ht="15.75" customHeight="1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ht="15.75" customHeight="1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ht="15.75" customHeight="1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ht="15.75" customHeight="1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ht="15.75" customHeight="1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ht="15.75" customHeight="1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ht="15.75" customHeight="1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5.75" customHeight="1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ht="15.75" customHeight="1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ht="15.75" customHeight="1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ht="15.75" customHeight="1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ht="15.75" customHeight="1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ht="15.75" customHeight="1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ht="15.75" customHeight="1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ht="15.75" customHeight="1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ht="15.75" customHeight="1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ht="15.75" customHeight="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ht="15.75" customHeight="1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ht="15.75" customHeight="1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ht="15.75" customHeight="1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ht="15.75" customHeight="1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ht="15.75" customHeight="1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ht="15.75" customHeight="1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ht="15.75" customHeight="1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ht="15.75" customHeight="1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ht="15.75" customHeight="1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ht="15.75" customHeight="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ht="15.75" customHeight="1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ht="15.75" customHeight="1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ht="15.75" customHeight="1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ht="15.75" customHeight="1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ht="15.75" customHeight="1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ht="15.75" customHeight="1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ht="15.75" customHeight="1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ht="15.75" customHeight="1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ht="15.75" customHeight="1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ht="15.75" customHeight="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ht="15.75" customHeight="1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ht="15.75" customHeight="1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ht="15.75" customHeight="1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ht="15.75" customHeight="1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ht="15.75" customHeight="1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ht="15.75" customHeight="1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ht="15.75" customHeight="1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ht="15.75" customHeight="1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ht="15.75" customHeight="1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ht="15.75" customHeight="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ht="15.75" customHeight="1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ht="15.75" customHeight="1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ht="15.75" customHeight="1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ht="15.75" customHeight="1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ht="15.75" customHeight="1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5.75" customHeight="1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ht="15.75" customHeight="1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ht="15.75" customHeight="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ht="15.75" customHeight="1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ht="15.75" customHeight="1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ht="15.75" customHeight="1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ht="15.75" customHeight="1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ht="15.75" customHeight="1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ht="15.75" customHeight="1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ht="15.75" customHeight="1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ht="15.75" customHeight="1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ht="15.75" customHeight="1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ht="15.75" customHeight="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ht="15.75" customHeight="1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ht="15.75" customHeight="1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ht="15.75" customHeight="1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ht="15.75" customHeight="1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ht="15.75" customHeight="1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ht="15.75" customHeight="1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ht="15.75" customHeight="1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ht="15.75" customHeight="1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ht="15.75" customHeight="1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ht="15.75" customHeight="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ht="15.75" customHeight="1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ht="15.75" customHeight="1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ht="15.75" customHeight="1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ht="15.75" customHeight="1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ht="15.75" customHeight="1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ht="15.75" customHeight="1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ht="15.75" customHeight="1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ht="15.75" customHeight="1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ht="15.75" customHeight="1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ht="15.75" customHeight="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ht="15.75" customHeight="1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ht="15.75" customHeight="1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ht="15.75" customHeight="1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ht="15.75" customHeight="1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ht="15.75" customHeight="1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ht="15.75" customHeight="1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ht="15.75" customHeight="1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ht="15.75" customHeight="1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ht="15.75" customHeight="1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ht="15.75" customHeight="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ht="15.75" customHeight="1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ht="15.75" customHeight="1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ht="15.75" customHeight="1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ht="15.75" customHeight="1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ht="15.75" customHeight="1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ht="15.75" customHeight="1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ht="15.75" customHeight="1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ht="15.75" customHeight="1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ht="15.75" customHeight="1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ht="15.75" customHeight="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ht="15.75" customHeight="1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ht="15.75" customHeight="1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ht="15.75" customHeight="1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ht="15.75" customHeight="1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ht="15.75" customHeight="1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ht="15.75" customHeight="1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ht="15.75" customHeight="1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ht="15.75" customHeight="1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ht="15.75" customHeight="1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ht="15.75" customHeight="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ht="15.75" customHeight="1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ht="15.75" customHeight="1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ht="15.75" customHeight="1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ht="15.75" customHeight="1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ht="15.75" customHeight="1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ht="15.75" customHeight="1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ht="15.75" customHeight="1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ht="15.75" customHeight="1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ht="15.75" customHeight="1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ht="15.75" customHeight="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ht="15.75" customHeight="1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ht="15.75" customHeight="1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ht="15.75" customHeight="1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ht="15.75" customHeight="1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ht="15.75" customHeight="1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ht="15.75" customHeight="1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ht="15.75" customHeight="1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ht="15.75" customHeight="1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ht="15.75" customHeight="1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ht="15.75" customHeight="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ht="15.75" customHeight="1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ht="15.75" customHeight="1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ht="15.75" customHeight="1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ht="15.75" customHeight="1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ht="15.75" customHeight="1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ht="15.75" customHeight="1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ht="15.75" customHeight="1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ht="15.75" customHeight="1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ht="15.75" customHeight="1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ht="15.75" customHeight="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ht="15.75" customHeight="1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ht="15.75" customHeight="1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ht="15.75" customHeight="1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ht="15.75" customHeight="1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ht="15.75" customHeight="1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ht="15.75" customHeight="1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ht="15.75" customHeight="1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ht="15.75" customHeight="1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ht="15.75" customHeight="1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ht="15.75" customHeight="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ht="15.75" customHeight="1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ht="15.75" customHeight="1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ht="15.75" customHeight="1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ht="15.75" customHeight="1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ht="15.75" customHeight="1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ht="15.75" customHeight="1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ht="15.75" customHeight="1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ht="15.75" customHeight="1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ht="15.75" customHeight="1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ht="15.75" customHeight="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ht="15.75" customHeight="1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ht="15.75" customHeight="1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ht="15.75" customHeight="1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ht="15.75" customHeight="1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ht="15.75" customHeight="1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ht="15.75" customHeight="1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ht="15.75" customHeight="1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ht="15.75" customHeight="1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ht="15.75" customHeight="1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ht="15.75" customHeight="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ht="15.75" customHeight="1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ht="15.75" customHeight="1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ht="15.75" customHeight="1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ht="15.75" customHeight="1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ht="15.75" customHeight="1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ht="15.75" customHeight="1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ht="15.75" customHeight="1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ht="15.75" customHeight="1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ht="15.75" customHeight="1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ht="15.75" customHeight="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ht="15.75" customHeight="1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ht="15.75" customHeight="1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ht="15.75" customHeight="1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ht="15.75" customHeight="1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ht="15.75" customHeight="1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ht="15.75" customHeight="1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ht="15.75" customHeight="1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ht="15.75" customHeight="1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ht="15.75" customHeight="1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ht="15.75" customHeight="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ht="15.75" customHeight="1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ht="15.75" customHeight="1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ht="15.75" customHeight="1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ht="15.75" customHeight="1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ht="15.75" customHeight="1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ht="15.75" customHeight="1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ht="15.75" customHeight="1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ht="15.75" customHeight="1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ht="15.75" customHeight="1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ht="15.75" customHeight="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ht="15.75" customHeight="1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ht="15.75" customHeight="1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ht="15.75" customHeight="1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ht="15.75" customHeight="1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ht="15.75" customHeight="1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ht="15.75" customHeight="1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ht="15.75" customHeight="1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ht="15.75" customHeight="1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ht="15.75" customHeight="1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ht="15.75" customHeight="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ht="15.75" customHeight="1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ht="15.75" customHeight="1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ht="15.75" customHeight="1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ht="15.75" customHeight="1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ht="15.75" customHeight="1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ht="15.75" customHeight="1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ht="15.75" customHeight="1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ht="15.75" customHeight="1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ht="15.75" customHeight="1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ht="15.75" customHeight="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ht="15.75" customHeight="1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ht="15.75" customHeight="1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ht="15.75" customHeight="1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ht="15.75" customHeight="1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ht="15.75" customHeight="1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ht="15.75" customHeight="1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ht="15.75" customHeight="1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ht="15.75" customHeight="1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ht="15.75" customHeight="1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ht="15.75" customHeight="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ht="15.75" customHeight="1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ht="15.75" customHeight="1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ht="15.75" customHeight="1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ht="15.75" customHeight="1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ht="15.75" customHeight="1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ht="15.75" customHeight="1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ht="15.75" customHeight="1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ht="15.75" customHeight="1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ht="15.75" customHeight="1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ht="15.75" customHeight="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ht="15.75" customHeight="1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ht="15.75" customHeight="1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ht="15.75" customHeight="1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ht="15.75" customHeight="1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ht="15.75" customHeight="1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ht="15.75" customHeight="1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ht="15.75" customHeight="1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ht="15.75" customHeight="1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ht="15.75" customHeight="1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ht="15.75" customHeight="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ht="15.75" customHeight="1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ht="15.75" customHeight="1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ht="15.75" customHeight="1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ht="15.75" customHeight="1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ht="15.75" customHeight="1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ht="15.75" customHeight="1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ht="15.75" customHeight="1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ht="15.75" customHeight="1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ht="15.75" customHeight="1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ht="15.75" customHeight="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</sheetData>
  <mergeCells count="18">
    <mergeCell ref="H4:K4"/>
    <mergeCell ref="L4:O4"/>
    <mergeCell ref="C3:C5"/>
    <mergeCell ref="D3:D5"/>
    <mergeCell ref="E3:E5"/>
    <mergeCell ref="F3:F5"/>
    <mergeCell ref="H3:O3"/>
    <mergeCell ref="P3:T3"/>
    <mergeCell ref="P4:T4"/>
    <mergeCell ref="D17:D19"/>
    <mergeCell ref="E17:E19"/>
    <mergeCell ref="G3:G5"/>
    <mergeCell ref="C6:G6"/>
    <mergeCell ref="D7:E10"/>
    <mergeCell ref="D11:D13"/>
    <mergeCell ref="E11:E13"/>
    <mergeCell ref="D14:D16"/>
    <mergeCell ref="E14:E16"/>
  </mergeCells>
  <printOptions horizontalCentered="1"/>
  <pageMargins bottom="0.748031496062992" footer="0.0" header="0.0" left="0.748031496062992" right="0.748031496062992" top="0.78740157480315"/>
  <pageSetup fitToHeight="0" paperSize="9" orientation="landscape"/>
  <headerFooter>
    <oddHeader>&amp;R&amp;A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2" width="9.75"/>
    <col customWidth="1" min="3" max="3" width="23.38"/>
    <col customWidth="1" min="4" max="17" width="9.75"/>
    <col customWidth="1" min="18" max="18" width="15.13"/>
    <col customWidth="1" min="19" max="19" width="13.88"/>
    <col customWidth="1" min="20" max="33" width="9.75"/>
  </cols>
  <sheetData>
    <row r="1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ht="27.0" customHeight="1">
      <c r="A2" s="192" t="s">
        <v>212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191"/>
      <c r="V2" s="191"/>
      <c r="W2" s="193" t="s">
        <v>83</v>
      </c>
      <c r="X2" s="194"/>
      <c r="Y2" s="194"/>
      <c r="Z2" s="191"/>
      <c r="AA2" s="191"/>
      <c r="AB2" s="191"/>
      <c r="AC2" s="191"/>
      <c r="AD2" s="191"/>
      <c r="AE2" s="191"/>
      <c r="AF2" s="191"/>
      <c r="AG2" s="191"/>
    </row>
    <row r="3">
      <c r="A3" s="195" t="s">
        <v>213</v>
      </c>
      <c r="B3" s="196" t="s">
        <v>214</v>
      </c>
      <c r="C3" s="44"/>
      <c r="D3" s="195" t="s">
        <v>215</v>
      </c>
      <c r="E3" s="195" t="s">
        <v>216</v>
      </c>
      <c r="F3" s="196" t="s">
        <v>217</v>
      </c>
      <c r="G3" s="43"/>
      <c r="H3" s="43"/>
      <c r="I3" s="43"/>
      <c r="J3" s="43"/>
      <c r="K3" s="43"/>
      <c r="L3" s="43"/>
      <c r="M3" s="44"/>
      <c r="N3" s="196" t="s">
        <v>218</v>
      </c>
      <c r="O3" s="43"/>
      <c r="P3" s="43"/>
      <c r="Q3" s="43"/>
      <c r="R3" s="43"/>
      <c r="S3" s="44"/>
      <c r="T3" s="195" t="s">
        <v>219</v>
      </c>
      <c r="U3" s="191"/>
      <c r="V3" s="191"/>
      <c r="W3" s="194"/>
      <c r="X3" s="194"/>
      <c r="Y3" s="197">
        <f>1/(1/Y4+1/Y6+1/Y7)</f>
        <v>2.4</v>
      </c>
      <c r="Z3" s="191"/>
      <c r="AA3" s="191"/>
      <c r="AB3" s="191"/>
      <c r="AC3" s="191"/>
      <c r="AD3" s="191"/>
      <c r="AE3" s="191"/>
      <c r="AF3" s="191"/>
      <c r="AG3" s="191"/>
    </row>
    <row r="4">
      <c r="A4" s="198">
        <v>1.0</v>
      </c>
      <c r="B4" s="199" t="s">
        <v>220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4"/>
      <c r="T4" s="198">
        <f>SUM(T5:T6)</f>
        <v>7</v>
      </c>
      <c r="U4" s="191"/>
      <c r="V4" s="191"/>
      <c r="W4" s="200" t="s">
        <v>96</v>
      </c>
      <c r="X4" s="201">
        <v>12000.0</v>
      </c>
      <c r="Y4" s="201">
        <f>X4/1000</f>
        <v>12</v>
      </c>
      <c r="Z4" s="191"/>
      <c r="AA4" s="191"/>
      <c r="AB4" s="191"/>
      <c r="AC4" s="191"/>
      <c r="AD4" s="191"/>
      <c r="AE4" s="191"/>
      <c r="AF4" s="191"/>
      <c r="AG4" s="191"/>
    </row>
    <row r="5">
      <c r="A5" s="202">
        <v>1.1</v>
      </c>
      <c r="B5" s="203" t="s">
        <v>221</v>
      </c>
      <c r="C5" s="44"/>
      <c r="D5" s="202"/>
      <c r="E5" s="202"/>
      <c r="F5" s="203" t="s">
        <v>222</v>
      </c>
      <c r="G5" s="43"/>
      <c r="H5" s="43"/>
      <c r="I5" s="43"/>
      <c r="J5" s="43"/>
      <c r="K5" s="43"/>
      <c r="L5" s="43"/>
      <c r="M5" s="44"/>
      <c r="N5" s="203" t="s">
        <v>223</v>
      </c>
      <c r="O5" s="43"/>
      <c r="P5" s="43"/>
      <c r="Q5" s="43"/>
      <c r="R5" s="43"/>
      <c r="S5" s="44"/>
      <c r="T5" s="202">
        <v>3.0</v>
      </c>
      <c r="U5" s="191"/>
      <c r="V5" s="191"/>
      <c r="W5" s="204"/>
      <c r="X5" s="205"/>
      <c r="Y5" s="205"/>
      <c r="Z5" s="191"/>
      <c r="AA5" s="191"/>
      <c r="AB5" s="191"/>
      <c r="AC5" s="191"/>
      <c r="AD5" s="191"/>
      <c r="AE5" s="191"/>
      <c r="AF5" s="191"/>
      <c r="AG5" s="191"/>
    </row>
    <row r="6">
      <c r="A6" s="202">
        <v>1.2</v>
      </c>
      <c r="B6" s="203" t="s">
        <v>224</v>
      </c>
      <c r="C6" s="44"/>
      <c r="D6" s="202"/>
      <c r="E6" s="202"/>
      <c r="F6" s="203" t="s">
        <v>225</v>
      </c>
      <c r="G6" s="43"/>
      <c r="H6" s="43"/>
      <c r="I6" s="43"/>
      <c r="J6" s="43"/>
      <c r="K6" s="43"/>
      <c r="L6" s="43"/>
      <c r="M6" s="44"/>
      <c r="N6" s="203" t="s">
        <v>226</v>
      </c>
      <c r="O6" s="43"/>
      <c r="P6" s="43"/>
      <c r="Q6" s="43"/>
      <c r="R6" s="43"/>
      <c r="S6" s="44"/>
      <c r="T6" s="202">
        <v>4.0</v>
      </c>
      <c r="U6" s="191"/>
      <c r="V6" s="191"/>
      <c r="W6" s="200" t="s">
        <v>103</v>
      </c>
      <c r="X6" s="201">
        <v>6000.0</v>
      </c>
      <c r="Y6" s="201">
        <f t="shared" ref="Y6:Y7" si="1">X6/1000</f>
        <v>6</v>
      </c>
      <c r="Z6" s="191"/>
      <c r="AA6" s="191"/>
      <c r="AB6" s="191"/>
      <c r="AC6" s="191"/>
      <c r="AD6" s="191"/>
      <c r="AE6" s="191"/>
      <c r="AF6" s="191"/>
      <c r="AG6" s="191"/>
    </row>
    <row r="7">
      <c r="A7" s="198">
        <v>2.0</v>
      </c>
      <c r="B7" s="199" t="s">
        <v>227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198">
        <f>SUM(T8:T13)</f>
        <v>12</v>
      </c>
      <c r="U7" s="191"/>
      <c r="V7" s="191"/>
      <c r="W7" s="206" t="s">
        <v>107</v>
      </c>
      <c r="X7" s="201">
        <v>6000.0</v>
      </c>
      <c r="Y7" s="201">
        <f t="shared" si="1"/>
        <v>6</v>
      </c>
      <c r="Z7" s="191"/>
      <c r="AA7" s="191"/>
      <c r="AB7" s="191"/>
      <c r="AC7" s="191"/>
      <c r="AD7" s="191"/>
      <c r="AE7" s="191"/>
      <c r="AF7" s="191"/>
      <c r="AG7" s="191"/>
    </row>
    <row r="8">
      <c r="A8" s="202">
        <v>2.1</v>
      </c>
      <c r="B8" s="203" t="s">
        <v>228</v>
      </c>
      <c r="C8" s="44"/>
      <c r="D8" s="207" t="s">
        <v>229</v>
      </c>
      <c r="E8" s="207" t="s">
        <v>230</v>
      </c>
      <c r="F8" s="203" t="s">
        <v>231</v>
      </c>
      <c r="G8" s="43"/>
      <c r="H8" s="43"/>
      <c r="I8" s="43"/>
      <c r="J8" s="43"/>
      <c r="K8" s="43"/>
      <c r="L8" s="43"/>
      <c r="M8" s="44"/>
      <c r="N8" s="203" t="s">
        <v>232</v>
      </c>
      <c r="O8" s="43"/>
      <c r="P8" s="43"/>
      <c r="Q8" s="43"/>
      <c r="R8" s="43"/>
      <c r="S8" s="44"/>
      <c r="T8" s="208">
        <v>2.0</v>
      </c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</row>
    <row r="9">
      <c r="A9" s="202">
        <v>2.2</v>
      </c>
      <c r="B9" s="203" t="s">
        <v>233</v>
      </c>
      <c r="C9" s="44"/>
      <c r="D9" s="207" t="s">
        <v>229</v>
      </c>
      <c r="E9" s="207" t="s">
        <v>234</v>
      </c>
      <c r="F9" s="203" t="s">
        <v>235</v>
      </c>
      <c r="G9" s="43"/>
      <c r="H9" s="43"/>
      <c r="I9" s="43"/>
      <c r="J9" s="43"/>
      <c r="K9" s="43"/>
      <c r="L9" s="43"/>
      <c r="M9" s="44"/>
      <c r="N9" s="203" t="s">
        <v>232</v>
      </c>
      <c r="O9" s="43"/>
      <c r="P9" s="43"/>
      <c r="Q9" s="43"/>
      <c r="R9" s="43"/>
      <c r="S9" s="44"/>
      <c r="T9" s="208">
        <v>2.0</v>
      </c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</row>
    <row r="10">
      <c r="A10" s="202">
        <v>2.3</v>
      </c>
      <c r="B10" s="203" t="s">
        <v>236</v>
      </c>
      <c r="C10" s="44"/>
      <c r="D10" s="207" t="s">
        <v>237</v>
      </c>
      <c r="E10" s="207" t="s">
        <v>230</v>
      </c>
      <c r="F10" s="203" t="s">
        <v>238</v>
      </c>
      <c r="G10" s="43"/>
      <c r="H10" s="43"/>
      <c r="I10" s="43"/>
      <c r="J10" s="43"/>
      <c r="K10" s="43"/>
      <c r="L10" s="43"/>
      <c r="M10" s="44"/>
      <c r="N10" s="203" t="s">
        <v>232</v>
      </c>
      <c r="O10" s="43"/>
      <c r="P10" s="43"/>
      <c r="Q10" s="43"/>
      <c r="R10" s="43"/>
      <c r="S10" s="44"/>
      <c r="T10" s="208">
        <v>2.0</v>
      </c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</row>
    <row r="11">
      <c r="A11" s="202">
        <v>2.4</v>
      </c>
      <c r="B11" s="203" t="s">
        <v>239</v>
      </c>
      <c r="C11" s="44"/>
      <c r="D11" s="207" t="s">
        <v>237</v>
      </c>
      <c r="E11" s="207" t="s">
        <v>234</v>
      </c>
      <c r="F11" s="203" t="s">
        <v>240</v>
      </c>
      <c r="G11" s="43"/>
      <c r="H11" s="43"/>
      <c r="I11" s="43"/>
      <c r="J11" s="43"/>
      <c r="K11" s="43"/>
      <c r="L11" s="43"/>
      <c r="M11" s="44"/>
      <c r="N11" s="203" t="s">
        <v>232</v>
      </c>
      <c r="O11" s="43"/>
      <c r="P11" s="43"/>
      <c r="Q11" s="43"/>
      <c r="R11" s="43"/>
      <c r="S11" s="44"/>
      <c r="T11" s="208">
        <v>2.0</v>
      </c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</row>
    <row r="12">
      <c r="A12" s="202">
        <v>2.5</v>
      </c>
      <c r="B12" s="203" t="s">
        <v>241</v>
      </c>
      <c r="C12" s="44"/>
      <c r="D12" s="207" t="s">
        <v>229</v>
      </c>
      <c r="E12" s="207" t="s">
        <v>230</v>
      </c>
      <c r="F12" s="203" t="s">
        <v>242</v>
      </c>
      <c r="G12" s="43"/>
      <c r="H12" s="43"/>
      <c r="I12" s="43"/>
      <c r="J12" s="43"/>
      <c r="K12" s="43"/>
      <c r="L12" s="43"/>
      <c r="M12" s="44"/>
      <c r="N12" s="203" t="s">
        <v>232</v>
      </c>
      <c r="O12" s="43"/>
      <c r="P12" s="43"/>
      <c r="Q12" s="43"/>
      <c r="R12" s="43"/>
      <c r="S12" s="44"/>
      <c r="T12" s="208">
        <v>2.0</v>
      </c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</row>
    <row r="13">
      <c r="A13" s="202">
        <v>2.6</v>
      </c>
      <c r="B13" s="203" t="s">
        <v>243</v>
      </c>
      <c r="C13" s="44"/>
      <c r="D13" s="207" t="s">
        <v>229</v>
      </c>
      <c r="E13" s="207" t="s">
        <v>234</v>
      </c>
      <c r="F13" s="203" t="s">
        <v>244</v>
      </c>
      <c r="G13" s="43"/>
      <c r="H13" s="43"/>
      <c r="I13" s="43"/>
      <c r="J13" s="43"/>
      <c r="K13" s="43"/>
      <c r="L13" s="43"/>
      <c r="M13" s="44"/>
      <c r="N13" s="203" t="s">
        <v>232</v>
      </c>
      <c r="O13" s="43"/>
      <c r="P13" s="43"/>
      <c r="Q13" s="43"/>
      <c r="R13" s="43"/>
      <c r="S13" s="44"/>
      <c r="T13" s="208">
        <v>2.0</v>
      </c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</row>
    <row r="14" ht="27.75" customHeight="1">
      <c r="A14" s="192" t="s">
        <v>245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4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</row>
    <row r="15">
      <c r="A15" s="195" t="s">
        <v>213</v>
      </c>
      <c r="B15" s="196" t="s">
        <v>214</v>
      </c>
      <c r="C15" s="44"/>
      <c r="D15" s="196" t="s">
        <v>217</v>
      </c>
      <c r="E15" s="43"/>
      <c r="F15" s="43"/>
      <c r="G15" s="43"/>
      <c r="H15" s="43"/>
      <c r="I15" s="43"/>
      <c r="J15" s="43"/>
      <c r="K15" s="43"/>
      <c r="L15" s="43"/>
      <c r="M15" s="44"/>
      <c r="N15" s="196" t="s">
        <v>218</v>
      </c>
      <c r="O15" s="43"/>
      <c r="P15" s="43"/>
      <c r="Q15" s="43"/>
      <c r="R15" s="43"/>
      <c r="S15" s="44"/>
      <c r="T15" s="195" t="s">
        <v>219</v>
      </c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</row>
    <row r="16">
      <c r="A16" s="198">
        <v>3.0</v>
      </c>
      <c r="B16" s="199" t="s">
        <v>246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4"/>
      <c r="T16" s="198">
        <f>SUM(T17:T19)</f>
        <v>15</v>
      </c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</row>
    <row r="17">
      <c r="A17" s="202">
        <v>3.1</v>
      </c>
      <c r="B17" s="203" t="s">
        <v>247</v>
      </c>
      <c r="C17" s="44"/>
      <c r="D17" s="203" t="s">
        <v>248</v>
      </c>
      <c r="E17" s="43"/>
      <c r="F17" s="43"/>
      <c r="G17" s="43"/>
      <c r="H17" s="43"/>
      <c r="I17" s="43"/>
      <c r="J17" s="43"/>
      <c r="K17" s="43"/>
      <c r="L17" s="43"/>
      <c r="M17" s="44"/>
      <c r="N17" s="203" t="s">
        <v>249</v>
      </c>
      <c r="O17" s="43"/>
      <c r="P17" s="43"/>
      <c r="Q17" s="43"/>
      <c r="R17" s="43"/>
      <c r="S17" s="44"/>
      <c r="T17" s="202">
        <v>2.0</v>
      </c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</row>
    <row r="18">
      <c r="A18" s="202">
        <v>3.2</v>
      </c>
      <c r="B18" s="203" t="s">
        <v>250</v>
      </c>
      <c r="C18" s="44"/>
      <c r="D18" s="203" t="s">
        <v>251</v>
      </c>
      <c r="E18" s="43"/>
      <c r="F18" s="43"/>
      <c r="G18" s="43"/>
      <c r="H18" s="43"/>
      <c r="I18" s="43"/>
      <c r="J18" s="43"/>
      <c r="K18" s="43"/>
      <c r="L18" s="43"/>
      <c r="M18" s="44"/>
      <c r="N18" s="203" t="s">
        <v>252</v>
      </c>
      <c r="O18" s="43"/>
      <c r="P18" s="43"/>
      <c r="Q18" s="43"/>
      <c r="R18" s="43"/>
      <c r="S18" s="44"/>
      <c r="T18" s="202">
        <v>5.0</v>
      </c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</row>
    <row r="19">
      <c r="A19" s="202">
        <v>3.3</v>
      </c>
      <c r="B19" s="203" t="s">
        <v>253</v>
      </c>
      <c r="C19" s="44"/>
      <c r="D19" s="203" t="s">
        <v>254</v>
      </c>
      <c r="E19" s="43"/>
      <c r="F19" s="43"/>
      <c r="G19" s="43"/>
      <c r="H19" s="43"/>
      <c r="I19" s="43"/>
      <c r="J19" s="43"/>
      <c r="K19" s="43"/>
      <c r="L19" s="43"/>
      <c r="M19" s="44"/>
      <c r="N19" s="203" t="s">
        <v>255</v>
      </c>
      <c r="O19" s="43"/>
      <c r="P19" s="43"/>
      <c r="Q19" s="43"/>
      <c r="R19" s="43"/>
      <c r="S19" s="44"/>
      <c r="T19" s="202">
        <v>8.0</v>
      </c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</row>
    <row r="20">
      <c r="A20" s="195" t="s">
        <v>213</v>
      </c>
      <c r="B20" s="196" t="s">
        <v>214</v>
      </c>
      <c r="C20" s="44"/>
      <c r="D20" s="195" t="s">
        <v>215</v>
      </c>
      <c r="E20" s="195" t="s">
        <v>216</v>
      </c>
      <c r="F20" s="195" t="s">
        <v>256</v>
      </c>
      <c r="G20" s="195" t="s">
        <v>257</v>
      </c>
      <c r="H20" s="195" t="s">
        <v>258</v>
      </c>
      <c r="I20" s="195" t="s">
        <v>259</v>
      </c>
      <c r="J20" s="196" t="s">
        <v>217</v>
      </c>
      <c r="K20" s="43"/>
      <c r="L20" s="43"/>
      <c r="M20" s="44"/>
      <c r="N20" s="196" t="s">
        <v>218</v>
      </c>
      <c r="O20" s="43"/>
      <c r="P20" s="44"/>
      <c r="Q20" s="195" t="s">
        <v>260</v>
      </c>
      <c r="R20" s="195" t="s">
        <v>261</v>
      </c>
      <c r="S20" s="195" t="s">
        <v>262</v>
      </c>
      <c r="T20" s="195" t="s">
        <v>219</v>
      </c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</row>
    <row r="21" ht="15.75" customHeight="1">
      <c r="A21" s="198">
        <v>4.0</v>
      </c>
      <c r="B21" s="199" t="s">
        <v>263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4"/>
      <c r="T21" s="198">
        <f>SUM(T22:T27)</f>
        <v>180</v>
      </c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</row>
    <row r="22" ht="15.75" customHeight="1">
      <c r="A22" s="202">
        <v>4.1</v>
      </c>
      <c r="B22" s="203" t="s">
        <v>264</v>
      </c>
      <c r="C22" s="44"/>
      <c r="D22" s="207" t="s">
        <v>229</v>
      </c>
      <c r="E22" s="207" t="s">
        <v>230</v>
      </c>
      <c r="F22" s="209">
        <v>13.0</v>
      </c>
      <c r="G22" s="209">
        <v>3125.0</v>
      </c>
      <c r="H22" s="209">
        <v>21.0</v>
      </c>
      <c r="I22" s="210" t="s">
        <v>265</v>
      </c>
      <c r="J22" s="203" t="s">
        <v>266</v>
      </c>
      <c r="K22" s="43"/>
      <c r="L22" s="43"/>
      <c r="M22" s="44"/>
      <c r="N22" s="203" t="s">
        <v>267</v>
      </c>
      <c r="O22" s="43"/>
      <c r="P22" s="44"/>
      <c r="Q22" s="202">
        <v>400.0</v>
      </c>
      <c r="R22" s="202">
        <v>0.5</v>
      </c>
      <c r="S22" s="202">
        <v>0.1</v>
      </c>
      <c r="T22" s="202">
        <f t="shared" ref="T22:T27" si="2">(R22*Q22+S22*Q22)/8</f>
        <v>30</v>
      </c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</row>
    <row r="23" ht="15.75" customHeight="1">
      <c r="A23" s="202">
        <v>4.2</v>
      </c>
      <c r="B23" s="203" t="s">
        <v>264</v>
      </c>
      <c r="C23" s="44"/>
      <c r="D23" s="207" t="s">
        <v>229</v>
      </c>
      <c r="E23" s="207" t="s">
        <v>234</v>
      </c>
      <c r="F23" s="209">
        <v>24.0</v>
      </c>
      <c r="G23" s="209">
        <v>6346.0</v>
      </c>
      <c r="H23" s="209">
        <v>33.0</v>
      </c>
      <c r="I23" s="210" t="s">
        <v>268</v>
      </c>
      <c r="J23" s="203" t="s">
        <v>269</v>
      </c>
      <c r="K23" s="43"/>
      <c r="L23" s="43"/>
      <c r="M23" s="44"/>
      <c r="N23" s="203" t="s">
        <v>267</v>
      </c>
      <c r="O23" s="43"/>
      <c r="P23" s="44"/>
      <c r="Q23" s="202">
        <v>400.0</v>
      </c>
      <c r="R23" s="202">
        <v>0.5</v>
      </c>
      <c r="S23" s="202">
        <v>0.1</v>
      </c>
      <c r="T23" s="202">
        <f t="shared" si="2"/>
        <v>30</v>
      </c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</row>
    <row r="24" ht="15.75" customHeight="1">
      <c r="A24" s="202">
        <v>4.3</v>
      </c>
      <c r="B24" s="203" t="s">
        <v>270</v>
      </c>
      <c r="C24" s="44"/>
      <c r="D24" s="207" t="s">
        <v>237</v>
      </c>
      <c r="E24" s="207" t="s">
        <v>230</v>
      </c>
      <c r="F24" s="209">
        <v>8.0</v>
      </c>
      <c r="G24" s="209">
        <v>3462.0</v>
      </c>
      <c r="H24" s="209">
        <v>85.0</v>
      </c>
      <c r="I24" s="210" t="s">
        <v>271</v>
      </c>
      <c r="J24" s="203" t="s">
        <v>272</v>
      </c>
      <c r="K24" s="43"/>
      <c r="L24" s="43"/>
      <c r="M24" s="44"/>
      <c r="N24" s="203" t="s">
        <v>273</v>
      </c>
      <c r="O24" s="43"/>
      <c r="P24" s="44"/>
      <c r="Q24" s="202">
        <v>400.0</v>
      </c>
      <c r="R24" s="202">
        <v>0.5</v>
      </c>
      <c r="S24" s="202">
        <v>0.1</v>
      </c>
      <c r="T24" s="202">
        <f t="shared" si="2"/>
        <v>30</v>
      </c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</row>
    <row r="25" ht="15.75" customHeight="1">
      <c r="A25" s="202">
        <v>4.4</v>
      </c>
      <c r="B25" s="203" t="s">
        <v>270</v>
      </c>
      <c r="C25" s="44"/>
      <c r="D25" s="207" t="s">
        <v>237</v>
      </c>
      <c r="E25" s="207" t="s">
        <v>234</v>
      </c>
      <c r="F25" s="209">
        <v>22.0</v>
      </c>
      <c r="G25" s="209">
        <v>12800.0</v>
      </c>
      <c r="H25" s="209">
        <v>339.0</v>
      </c>
      <c r="I25" s="210" t="s">
        <v>274</v>
      </c>
      <c r="J25" s="203" t="s">
        <v>275</v>
      </c>
      <c r="K25" s="43"/>
      <c r="L25" s="43"/>
      <c r="M25" s="44"/>
      <c r="N25" s="203" t="s">
        <v>273</v>
      </c>
      <c r="O25" s="43"/>
      <c r="P25" s="44"/>
      <c r="Q25" s="202">
        <v>400.0</v>
      </c>
      <c r="R25" s="202">
        <v>0.5</v>
      </c>
      <c r="S25" s="202">
        <v>0.1</v>
      </c>
      <c r="T25" s="202">
        <f t="shared" si="2"/>
        <v>30</v>
      </c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</row>
    <row r="26" ht="15.75" customHeight="1">
      <c r="A26" s="202">
        <v>4.5</v>
      </c>
      <c r="B26" s="203" t="s">
        <v>276</v>
      </c>
      <c r="C26" s="44"/>
      <c r="D26" s="207" t="s">
        <v>229</v>
      </c>
      <c r="E26" s="207" t="s">
        <v>230</v>
      </c>
      <c r="F26" s="209">
        <v>15.0</v>
      </c>
      <c r="G26" s="209">
        <v>8512.0</v>
      </c>
      <c r="H26" s="209">
        <v>161.0</v>
      </c>
      <c r="I26" s="210" t="s">
        <v>277</v>
      </c>
      <c r="J26" s="203" t="s">
        <v>278</v>
      </c>
      <c r="K26" s="43"/>
      <c r="L26" s="43"/>
      <c r="M26" s="44"/>
      <c r="N26" s="203" t="s">
        <v>279</v>
      </c>
      <c r="O26" s="43"/>
      <c r="P26" s="44"/>
      <c r="Q26" s="202">
        <v>400.0</v>
      </c>
      <c r="R26" s="202">
        <v>0.5</v>
      </c>
      <c r="S26" s="202">
        <v>0.1</v>
      </c>
      <c r="T26" s="202">
        <f t="shared" si="2"/>
        <v>30</v>
      </c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</row>
    <row r="27" ht="15.75" customHeight="1">
      <c r="A27" s="202">
        <v>4.6</v>
      </c>
      <c r="B27" s="203" t="s">
        <v>276</v>
      </c>
      <c r="C27" s="44"/>
      <c r="D27" s="207" t="s">
        <v>229</v>
      </c>
      <c r="E27" s="207" t="s">
        <v>234</v>
      </c>
      <c r="F27" s="209">
        <v>16.0</v>
      </c>
      <c r="G27" s="209">
        <v>29372.0</v>
      </c>
      <c r="H27" s="209">
        <v>365.0</v>
      </c>
      <c r="I27" s="210" t="s">
        <v>280</v>
      </c>
      <c r="J27" s="203" t="s">
        <v>281</v>
      </c>
      <c r="K27" s="43"/>
      <c r="L27" s="43"/>
      <c r="M27" s="44"/>
      <c r="N27" s="203" t="s">
        <v>279</v>
      </c>
      <c r="O27" s="43"/>
      <c r="P27" s="44"/>
      <c r="Q27" s="202">
        <v>400.0</v>
      </c>
      <c r="R27" s="202">
        <v>0.5</v>
      </c>
      <c r="S27" s="202">
        <v>0.1</v>
      </c>
      <c r="T27" s="202">
        <f t="shared" si="2"/>
        <v>30</v>
      </c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</row>
    <row r="28" ht="15.75" customHeight="1">
      <c r="A28" s="195" t="s">
        <v>213</v>
      </c>
      <c r="B28" s="196" t="s">
        <v>214</v>
      </c>
      <c r="C28" s="44"/>
      <c r="D28" s="196" t="s">
        <v>217</v>
      </c>
      <c r="E28" s="43"/>
      <c r="F28" s="43"/>
      <c r="G28" s="43"/>
      <c r="H28" s="43"/>
      <c r="I28" s="43"/>
      <c r="J28" s="43"/>
      <c r="K28" s="43"/>
      <c r="L28" s="43"/>
      <c r="M28" s="44"/>
      <c r="N28" s="196" t="s">
        <v>218</v>
      </c>
      <c r="O28" s="43"/>
      <c r="P28" s="43"/>
      <c r="Q28" s="43"/>
      <c r="R28" s="43"/>
      <c r="S28" s="44"/>
      <c r="T28" s="195" t="s">
        <v>219</v>
      </c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</row>
    <row r="29" ht="15.75" customHeight="1">
      <c r="A29" s="198">
        <v>5.0</v>
      </c>
      <c r="B29" s="199" t="s">
        <v>282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4"/>
      <c r="T29" s="198">
        <f>SUM(T30:T31)</f>
        <v>4</v>
      </c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</row>
    <row r="30" ht="15.75" customHeight="1">
      <c r="A30" s="202">
        <v>5.1</v>
      </c>
      <c r="B30" s="203" t="s">
        <v>283</v>
      </c>
      <c r="C30" s="44"/>
      <c r="D30" s="211" t="s">
        <v>284</v>
      </c>
      <c r="E30" s="43"/>
      <c r="F30" s="43"/>
      <c r="G30" s="43"/>
      <c r="H30" s="43"/>
      <c r="I30" s="43"/>
      <c r="J30" s="43"/>
      <c r="K30" s="43"/>
      <c r="L30" s="43"/>
      <c r="M30" s="44"/>
      <c r="N30" s="203" t="s">
        <v>285</v>
      </c>
      <c r="O30" s="43"/>
      <c r="P30" s="43"/>
      <c r="Q30" s="43"/>
      <c r="R30" s="43"/>
      <c r="S30" s="44"/>
      <c r="T30" s="202">
        <v>2.0</v>
      </c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</row>
    <row r="31" ht="15.75" customHeight="1">
      <c r="A31" s="202">
        <v>5.3</v>
      </c>
      <c r="B31" s="203" t="s">
        <v>286</v>
      </c>
      <c r="C31" s="44"/>
      <c r="D31" s="211" t="s">
        <v>287</v>
      </c>
      <c r="E31" s="43"/>
      <c r="F31" s="43"/>
      <c r="G31" s="43"/>
      <c r="H31" s="43"/>
      <c r="I31" s="43"/>
      <c r="J31" s="43"/>
      <c r="K31" s="43"/>
      <c r="L31" s="43"/>
      <c r="M31" s="44"/>
      <c r="N31" s="203" t="s">
        <v>288</v>
      </c>
      <c r="O31" s="43"/>
      <c r="P31" s="43"/>
      <c r="Q31" s="43"/>
      <c r="R31" s="43"/>
      <c r="S31" s="44"/>
      <c r="T31" s="202">
        <v>2.0</v>
      </c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</row>
    <row r="32" ht="30.0" customHeight="1">
      <c r="A32" s="212" t="s">
        <v>289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4"/>
      <c r="T32" s="213">
        <f>T29+T21+T16+T7+T4</f>
        <v>218</v>
      </c>
      <c r="U32" s="191" t="s">
        <v>290</v>
      </c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</row>
    <row r="33" ht="37.5" customHeight="1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</row>
    <row r="34" ht="27.75" customHeight="1">
      <c r="A34" s="192" t="s">
        <v>291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4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</row>
    <row r="35" ht="15.75" customHeight="1">
      <c r="A35" s="195" t="s">
        <v>213</v>
      </c>
      <c r="B35" s="196" t="s">
        <v>214</v>
      </c>
      <c r="C35" s="44"/>
      <c r="D35" s="195" t="s">
        <v>215</v>
      </c>
      <c r="E35" s="195" t="s">
        <v>216</v>
      </c>
      <c r="F35" s="195" t="s">
        <v>257</v>
      </c>
      <c r="G35" s="214" t="s">
        <v>217</v>
      </c>
      <c r="H35" s="43"/>
      <c r="I35" s="43"/>
      <c r="J35" s="43"/>
      <c r="K35" s="43"/>
      <c r="L35" s="43"/>
      <c r="M35" s="44"/>
      <c r="N35" s="214" t="s">
        <v>218</v>
      </c>
      <c r="O35" s="43"/>
      <c r="P35" s="43"/>
      <c r="Q35" s="43"/>
      <c r="R35" s="43"/>
      <c r="S35" s="44"/>
      <c r="T35" s="195" t="s">
        <v>219</v>
      </c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</row>
    <row r="36" ht="30.0" customHeight="1">
      <c r="A36" s="198">
        <v>6.0</v>
      </c>
      <c r="B36" s="199" t="s">
        <v>292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4"/>
      <c r="T36" s="215">
        <f>SUM(T37:T39)</f>
        <v>86.4</v>
      </c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</row>
    <row r="37" ht="30.0" customHeight="1">
      <c r="A37" s="202">
        <v>6.1</v>
      </c>
      <c r="B37" s="203" t="s">
        <v>264</v>
      </c>
      <c r="C37" s="44"/>
      <c r="D37" s="207" t="s">
        <v>229</v>
      </c>
      <c r="E37" s="207" t="s">
        <v>234</v>
      </c>
      <c r="F37" s="216">
        <v>6346.0</v>
      </c>
      <c r="G37" s="211" t="s">
        <v>293</v>
      </c>
      <c r="H37" s="43"/>
      <c r="I37" s="43"/>
      <c r="J37" s="43"/>
      <c r="K37" s="43"/>
      <c r="L37" s="43"/>
      <c r="M37" s="44"/>
      <c r="N37" s="211" t="s">
        <v>294</v>
      </c>
      <c r="O37" s="43"/>
      <c r="P37" s="43"/>
      <c r="Q37" s="43"/>
      <c r="R37" s="43"/>
      <c r="S37" s="44"/>
      <c r="T37" s="217">
        <f t="shared" ref="T37:T39" si="3">F37/$X$4*20</f>
        <v>10.57666667</v>
      </c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</row>
    <row r="38" ht="30.0" customHeight="1">
      <c r="A38" s="202">
        <v>6.2</v>
      </c>
      <c r="B38" s="203" t="s">
        <v>264</v>
      </c>
      <c r="C38" s="44"/>
      <c r="D38" s="207" t="s">
        <v>237</v>
      </c>
      <c r="E38" s="207" t="s">
        <v>234</v>
      </c>
      <c r="F38" s="216">
        <v>16122.0</v>
      </c>
      <c r="G38" s="211" t="s">
        <v>293</v>
      </c>
      <c r="H38" s="43"/>
      <c r="I38" s="43"/>
      <c r="J38" s="43"/>
      <c r="K38" s="43"/>
      <c r="L38" s="43"/>
      <c r="M38" s="44"/>
      <c r="N38" s="211" t="s">
        <v>294</v>
      </c>
      <c r="O38" s="43"/>
      <c r="P38" s="43"/>
      <c r="Q38" s="43"/>
      <c r="R38" s="43"/>
      <c r="S38" s="44"/>
      <c r="T38" s="217">
        <f t="shared" si="3"/>
        <v>26.87</v>
      </c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</row>
    <row r="39" ht="30.0" customHeight="1">
      <c r="A39" s="202">
        <v>6.3</v>
      </c>
      <c r="B39" s="203" t="s">
        <v>276</v>
      </c>
      <c r="C39" s="44"/>
      <c r="D39" s="207" t="s">
        <v>229</v>
      </c>
      <c r="E39" s="207" t="s">
        <v>234</v>
      </c>
      <c r="F39" s="216">
        <v>29372.0</v>
      </c>
      <c r="G39" s="211" t="s">
        <v>295</v>
      </c>
      <c r="H39" s="43"/>
      <c r="I39" s="43"/>
      <c r="J39" s="43"/>
      <c r="K39" s="43"/>
      <c r="L39" s="43"/>
      <c r="M39" s="44"/>
      <c r="N39" s="211" t="s">
        <v>296</v>
      </c>
      <c r="O39" s="43"/>
      <c r="P39" s="43"/>
      <c r="Q39" s="43"/>
      <c r="R39" s="43"/>
      <c r="S39" s="44"/>
      <c r="T39" s="217">
        <f t="shared" si="3"/>
        <v>48.95333333</v>
      </c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</row>
    <row r="40" ht="30.0" customHeight="1">
      <c r="A40" s="198">
        <v>7.0</v>
      </c>
      <c r="B40" s="199" t="s">
        <v>297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4"/>
      <c r="T40" s="218">
        <f>SUM(T42:T44)</f>
        <v>172.8</v>
      </c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</row>
    <row r="41" ht="30.0" customHeight="1">
      <c r="A41" s="195" t="s">
        <v>213</v>
      </c>
      <c r="B41" s="196" t="s">
        <v>214</v>
      </c>
      <c r="C41" s="44"/>
      <c r="D41" s="195" t="s">
        <v>215</v>
      </c>
      <c r="E41" s="195" t="s">
        <v>216</v>
      </c>
      <c r="F41" s="195" t="s">
        <v>257</v>
      </c>
      <c r="G41" s="214" t="s">
        <v>217</v>
      </c>
      <c r="H41" s="43"/>
      <c r="I41" s="43"/>
      <c r="J41" s="43"/>
      <c r="K41" s="43"/>
      <c r="L41" s="43"/>
      <c r="M41" s="44"/>
      <c r="N41" s="214" t="s">
        <v>218</v>
      </c>
      <c r="O41" s="43"/>
      <c r="P41" s="43"/>
      <c r="Q41" s="43"/>
      <c r="R41" s="43"/>
      <c r="S41" s="44"/>
      <c r="T41" s="195" t="s">
        <v>219</v>
      </c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</row>
    <row r="42" ht="30.0" customHeight="1">
      <c r="A42" s="202">
        <v>7.1</v>
      </c>
      <c r="B42" s="203" t="s">
        <v>298</v>
      </c>
      <c r="C42" s="44"/>
      <c r="D42" s="207" t="s">
        <v>229</v>
      </c>
      <c r="E42" s="207" t="s">
        <v>234</v>
      </c>
      <c r="F42" s="216">
        <v>6346.0</v>
      </c>
      <c r="G42" s="203" t="s">
        <v>299</v>
      </c>
      <c r="H42" s="43"/>
      <c r="I42" s="43"/>
      <c r="J42" s="43"/>
      <c r="K42" s="43"/>
      <c r="L42" s="43"/>
      <c r="M42" s="44"/>
      <c r="N42" s="203" t="s">
        <v>300</v>
      </c>
      <c r="O42" s="43"/>
      <c r="P42" s="43"/>
      <c r="Q42" s="43"/>
      <c r="R42" s="43"/>
      <c r="S42" s="44"/>
      <c r="T42" s="219">
        <f t="shared" ref="T42:T44" si="4">F42/$X$6*20</f>
        <v>21.15333333</v>
      </c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</row>
    <row r="43" ht="30.0" customHeight="1">
      <c r="A43" s="202">
        <v>7.2</v>
      </c>
      <c r="B43" s="203" t="s">
        <v>298</v>
      </c>
      <c r="C43" s="44"/>
      <c r="D43" s="207" t="s">
        <v>237</v>
      </c>
      <c r="E43" s="207" t="s">
        <v>234</v>
      </c>
      <c r="F43" s="216">
        <v>16122.0</v>
      </c>
      <c r="G43" s="203" t="s">
        <v>299</v>
      </c>
      <c r="H43" s="43"/>
      <c r="I43" s="43"/>
      <c r="J43" s="43"/>
      <c r="K43" s="43"/>
      <c r="L43" s="43"/>
      <c r="M43" s="44"/>
      <c r="N43" s="203" t="s">
        <v>300</v>
      </c>
      <c r="O43" s="43"/>
      <c r="P43" s="43"/>
      <c r="Q43" s="43"/>
      <c r="R43" s="43"/>
      <c r="S43" s="44"/>
      <c r="T43" s="219">
        <f t="shared" si="4"/>
        <v>53.74</v>
      </c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</row>
    <row r="44" ht="30.0" customHeight="1">
      <c r="A44" s="202">
        <v>7.3</v>
      </c>
      <c r="B44" s="203" t="s">
        <v>301</v>
      </c>
      <c r="C44" s="44"/>
      <c r="D44" s="207" t="s">
        <v>229</v>
      </c>
      <c r="E44" s="207" t="s">
        <v>234</v>
      </c>
      <c r="F44" s="216">
        <v>29372.0</v>
      </c>
      <c r="G44" s="203" t="s">
        <v>302</v>
      </c>
      <c r="H44" s="43"/>
      <c r="I44" s="43"/>
      <c r="J44" s="43"/>
      <c r="K44" s="43"/>
      <c r="L44" s="43"/>
      <c r="M44" s="44"/>
      <c r="N44" s="203" t="s">
        <v>296</v>
      </c>
      <c r="O44" s="43"/>
      <c r="P44" s="43"/>
      <c r="Q44" s="43"/>
      <c r="R44" s="43"/>
      <c r="S44" s="44"/>
      <c r="T44" s="219">
        <f t="shared" si="4"/>
        <v>97.90666667</v>
      </c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</row>
    <row r="45" ht="30.0" customHeight="1">
      <c r="A45" s="212" t="s">
        <v>289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4"/>
      <c r="T45" s="220">
        <f>T36+T40</f>
        <v>259.2</v>
      </c>
      <c r="U45" s="191" t="s">
        <v>290</v>
      </c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</row>
    <row r="46" ht="15.75" customHeight="1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>
        <f>SUM(T32,T45)</f>
        <v>477.2</v>
      </c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</row>
    <row r="47" ht="15.75" customHeight="1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</row>
    <row r="48" ht="15.75" customHeight="1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</row>
    <row r="49" ht="15.75" customHeight="1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</row>
    <row r="50" ht="15.75" customHeight="1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</row>
    <row r="51" ht="15.75" customHeight="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</row>
    <row r="52" ht="15.75" customHeight="1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</row>
    <row r="53" ht="15.75" customHeight="1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</row>
    <row r="54" ht="15.75" customHeight="1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</row>
    <row r="55" ht="15.75" customHeight="1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</row>
    <row r="56" ht="15.75" customHeight="1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</row>
    <row r="57" ht="15.75" customHeight="1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</row>
    <row r="58" ht="15.75" customHeight="1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</row>
    <row r="59" ht="15.75" customHeight="1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</row>
    <row r="60" ht="15.75" customHeight="1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</row>
    <row r="61" ht="15.75" customHeight="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</row>
    <row r="62" ht="15.75" customHeight="1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</row>
    <row r="63" ht="15.75" customHeight="1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</row>
    <row r="64" ht="15.75" customHeight="1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</row>
    <row r="65" ht="15.75" customHeight="1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</row>
    <row r="66" ht="15.75" customHeight="1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</row>
    <row r="67" ht="15.75" customHeight="1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</row>
    <row r="68" ht="15.75" customHeight="1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</row>
    <row r="69" ht="15.75" customHeight="1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</row>
    <row r="70" ht="15.75" customHeight="1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</row>
    <row r="71" ht="15.75" customHeight="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</row>
    <row r="72" ht="15.75" customHeight="1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</row>
    <row r="73" ht="15.75" customHeight="1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</row>
    <row r="74" ht="15.75" customHeight="1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</row>
    <row r="75" ht="15.75" customHeight="1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</row>
    <row r="76" ht="15.75" customHeight="1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</row>
    <row r="77" ht="15.75" customHeight="1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</row>
    <row r="78" ht="15.75" customHeight="1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</row>
    <row r="79" ht="15.75" customHeight="1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</row>
    <row r="80" ht="15.75" customHeight="1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</row>
    <row r="81" ht="15.75" customHeight="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</row>
    <row r="82" ht="15.75" customHeight="1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</row>
    <row r="83" ht="15.75" customHeight="1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</row>
    <row r="84" ht="15.75" customHeight="1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</row>
    <row r="85" ht="15.75" customHeight="1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</row>
    <row r="86" ht="15.75" customHeight="1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</row>
    <row r="87" ht="15.75" customHeight="1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</row>
    <row r="88" ht="15.75" customHeight="1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</row>
    <row r="89" ht="15.75" customHeight="1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</row>
    <row r="90" ht="15.75" customHeight="1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</row>
    <row r="91" ht="15.75" customHeight="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</row>
    <row r="92" ht="15.75" customHeight="1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</row>
    <row r="93" ht="15.75" customHeight="1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</row>
    <row r="94" ht="15.75" customHeight="1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</row>
    <row r="95" ht="15.75" customHeight="1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</row>
    <row r="96" ht="15.75" customHeight="1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</row>
    <row r="97" ht="15.75" customHeight="1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</row>
    <row r="98" ht="15.75" customHeight="1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</row>
    <row r="99" ht="15.75" customHeight="1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</row>
    <row r="100" ht="15.75" customHeight="1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</row>
    <row r="101" ht="15.75" customHeight="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</row>
    <row r="102" ht="15.75" customHeight="1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</row>
    <row r="103" ht="15.75" customHeight="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</row>
    <row r="104" ht="15.75" customHeight="1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</row>
    <row r="105" ht="15.75" customHeight="1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</row>
    <row r="106" ht="15.75" customHeight="1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</row>
    <row r="107" ht="15.75" customHeight="1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</row>
    <row r="108" ht="15.75" customHeight="1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</row>
    <row r="109" ht="15.75" customHeight="1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</row>
    <row r="110" ht="15.75" customHeight="1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</row>
    <row r="111" ht="15.75" customHeight="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</row>
    <row r="112" ht="15.75" customHeight="1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</row>
    <row r="113" ht="15.75" customHeight="1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</row>
    <row r="114" ht="15.75" customHeight="1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</row>
    <row r="115" ht="15.75" customHeight="1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</row>
    <row r="116" ht="15.75" customHeight="1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</row>
    <row r="117" ht="15.75" customHeight="1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</row>
    <row r="118" ht="15.75" customHeight="1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</row>
    <row r="119" ht="15.75" customHeight="1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</row>
    <row r="120" ht="15.75" customHeight="1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</row>
    <row r="121" ht="15.75" customHeight="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</row>
    <row r="122" ht="15.75" customHeight="1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</row>
    <row r="123" ht="15.75" customHeight="1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</row>
    <row r="124" ht="15.75" customHeight="1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</row>
    <row r="125" ht="15.75" customHeight="1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</row>
    <row r="126" ht="15.75" customHeight="1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</row>
    <row r="127" ht="15.75" customHeight="1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</row>
    <row r="128" ht="15.75" customHeight="1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</row>
    <row r="129" ht="15.75" customHeight="1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</row>
    <row r="130" ht="15.75" customHeight="1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</row>
    <row r="131" ht="15.75" customHeight="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</row>
    <row r="132" ht="15.75" customHeight="1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</row>
    <row r="133" ht="15.75" customHeight="1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</row>
    <row r="134" ht="15.75" customHeight="1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</row>
    <row r="135" ht="15.75" customHeight="1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</row>
    <row r="136" ht="15.75" customHeight="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</row>
    <row r="137" ht="15.75" customHeight="1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</row>
    <row r="138" ht="15.75" customHeight="1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</row>
    <row r="139" ht="15.75" customHeight="1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</row>
    <row r="140" ht="15.75" customHeight="1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</row>
    <row r="141" ht="15.75" customHeight="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</row>
    <row r="142" ht="15.75" customHeight="1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</row>
    <row r="143" ht="15.75" customHeight="1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</row>
    <row r="144" ht="15.75" customHeight="1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</row>
    <row r="145" ht="15.75" customHeight="1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</row>
    <row r="146" ht="15.75" customHeight="1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</row>
    <row r="147" ht="15.75" customHeight="1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</row>
    <row r="148" ht="15.75" customHeight="1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</row>
    <row r="149" ht="15.75" customHeight="1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</row>
    <row r="150" ht="15.75" customHeight="1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</row>
    <row r="151" ht="15.75" customHeight="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</row>
    <row r="152" ht="15.75" customHeight="1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</row>
    <row r="153" ht="15.75" customHeight="1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</row>
    <row r="154" ht="15.75" customHeight="1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</row>
    <row r="155" ht="15.75" customHeight="1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</row>
    <row r="156" ht="15.75" customHeight="1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</row>
    <row r="157" ht="15.75" customHeight="1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</row>
    <row r="158" ht="15.75" customHeight="1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</row>
    <row r="159" ht="15.75" customHeight="1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</row>
    <row r="160" ht="15.75" customHeight="1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</row>
    <row r="161" ht="15.75" customHeight="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</row>
    <row r="162" ht="15.75" customHeight="1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</row>
    <row r="163" ht="15.75" customHeight="1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</row>
    <row r="164" ht="15.75" customHeight="1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</row>
    <row r="165" ht="15.75" customHeight="1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</row>
    <row r="166" ht="15.75" customHeight="1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</row>
    <row r="167" ht="15.75" customHeight="1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</row>
    <row r="168" ht="15.75" customHeight="1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</row>
    <row r="169" ht="15.75" customHeight="1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</row>
    <row r="170" ht="15.75" customHeight="1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</row>
    <row r="171" ht="15.75" customHeight="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</row>
    <row r="172" ht="15.75" customHeight="1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</row>
    <row r="173" ht="15.75" customHeight="1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</row>
    <row r="174" ht="15.75" customHeight="1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</row>
    <row r="175" ht="15.75" customHeight="1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</row>
    <row r="176" ht="15.75" customHeight="1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</row>
    <row r="177" ht="15.75" customHeight="1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</row>
    <row r="178" ht="15.75" customHeight="1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</row>
    <row r="179" ht="15.75" customHeight="1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</row>
    <row r="180" ht="15.75" customHeight="1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</row>
    <row r="181" ht="15.75" customHeight="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</row>
    <row r="182" ht="15.75" customHeight="1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</row>
    <row r="183" ht="15.75" customHeight="1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</row>
    <row r="184" ht="15.75" customHeight="1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</row>
    <row r="185" ht="15.75" customHeight="1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</row>
    <row r="186" ht="15.75" customHeight="1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</row>
    <row r="187" ht="15.75" customHeight="1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</row>
    <row r="188" ht="15.75" customHeight="1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</row>
    <row r="189" ht="15.75" customHeight="1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</row>
    <row r="190" ht="15.75" customHeight="1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</row>
    <row r="191" ht="15.75" customHeight="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</row>
    <row r="192" ht="15.75" customHeight="1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</row>
    <row r="193" ht="15.75" customHeight="1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</row>
    <row r="194" ht="15.75" customHeight="1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</row>
    <row r="195" ht="15.75" customHeight="1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</row>
    <row r="196" ht="15.75" customHeight="1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</row>
    <row r="197" ht="15.75" customHeight="1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</row>
    <row r="198" ht="15.75" customHeight="1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</row>
    <row r="199" ht="15.75" customHeight="1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</row>
    <row r="200" ht="15.75" customHeight="1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</row>
    <row r="201" ht="15.75" customHeight="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</row>
    <row r="202" ht="15.75" customHeight="1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</row>
    <row r="203" ht="15.75" customHeight="1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</row>
    <row r="204" ht="15.75" customHeight="1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</row>
    <row r="205" ht="15.75" customHeight="1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</row>
    <row r="206" ht="15.75" customHeight="1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</row>
    <row r="207" ht="15.75" customHeight="1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</row>
    <row r="208" ht="15.75" customHeight="1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</row>
    <row r="209" ht="15.75" customHeight="1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</row>
    <row r="210" ht="15.75" customHeight="1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</row>
    <row r="211" ht="15.75" customHeight="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</row>
    <row r="212" ht="15.75" customHeight="1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</row>
    <row r="213" ht="15.75" customHeight="1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</row>
    <row r="214" ht="15.75" customHeight="1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</row>
    <row r="215" ht="15.75" customHeight="1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</row>
    <row r="216" ht="15.75" customHeight="1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</row>
    <row r="217" ht="15.75" customHeight="1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</row>
    <row r="218" ht="15.75" customHeight="1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</row>
    <row r="219" ht="15.75" customHeight="1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</row>
    <row r="220" ht="15.75" customHeight="1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</row>
    <row r="221" ht="15.75" customHeight="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</row>
    <row r="222" ht="15.75" customHeight="1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</row>
    <row r="223" ht="15.75" customHeight="1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</row>
    <row r="224" ht="15.75" customHeight="1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</row>
    <row r="225" ht="15.75" customHeight="1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</row>
    <row r="226" ht="15.75" customHeight="1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</row>
    <row r="227" ht="15.75" customHeight="1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</row>
    <row r="228" ht="15.75" customHeight="1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</row>
    <row r="229" ht="15.75" customHeight="1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</row>
    <row r="230" ht="15.75" customHeight="1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</row>
    <row r="231" ht="15.75" customHeight="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</row>
    <row r="232" ht="15.75" customHeight="1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</row>
    <row r="233" ht="15.75" customHeight="1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</row>
    <row r="234" ht="15.75" customHeight="1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</row>
    <row r="235" ht="15.75" customHeight="1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</row>
    <row r="236" ht="15.75" customHeight="1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</row>
    <row r="237" ht="15.75" customHeight="1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</row>
    <row r="238" ht="15.75" customHeight="1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</row>
    <row r="239" ht="15.75" customHeight="1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</row>
    <row r="240" ht="15.75" customHeight="1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</row>
    <row r="241" ht="15.75" customHeight="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</row>
    <row r="242" ht="15.75" customHeight="1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</row>
    <row r="243" ht="15.75" customHeight="1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</row>
    <row r="244" ht="15.75" customHeight="1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</row>
    <row r="245" ht="15.75" customHeight="1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</row>
    <row r="246" ht="15.75" customHeight="1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B13:C13"/>
    <mergeCell ref="B15:C15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B28:C28"/>
    <mergeCell ref="B30:C30"/>
    <mergeCell ref="B43:C43"/>
    <mergeCell ref="B44:C44"/>
    <mergeCell ref="B31:C31"/>
    <mergeCell ref="B35:C35"/>
    <mergeCell ref="B37:C37"/>
    <mergeCell ref="B38:C38"/>
    <mergeCell ref="B39:C39"/>
    <mergeCell ref="B41:C41"/>
    <mergeCell ref="B42:C42"/>
    <mergeCell ref="J25:M25"/>
    <mergeCell ref="J26:M26"/>
    <mergeCell ref="N26:P26"/>
    <mergeCell ref="J27:M27"/>
    <mergeCell ref="N27:P27"/>
    <mergeCell ref="D28:M28"/>
    <mergeCell ref="N28:S28"/>
    <mergeCell ref="B29:S29"/>
    <mergeCell ref="D30:M30"/>
    <mergeCell ref="N30:S30"/>
    <mergeCell ref="D31:M31"/>
    <mergeCell ref="N31:S31"/>
    <mergeCell ref="A32:S32"/>
    <mergeCell ref="A34:T34"/>
    <mergeCell ref="G35:M35"/>
    <mergeCell ref="N35:S35"/>
    <mergeCell ref="B36:S36"/>
    <mergeCell ref="G37:M37"/>
    <mergeCell ref="N37:S37"/>
    <mergeCell ref="G38:M38"/>
    <mergeCell ref="N38:S38"/>
    <mergeCell ref="G43:M43"/>
    <mergeCell ref="N43:S43"/>
    <mergeCell ref="G44:M44"/>
    <mergeCell ref="N44:S44"/>
    <mergeCell ref="A45:S45"/>
    <mergeCell ref="G39:M39"/>
    <mergeCell ref="N39:S39"/>
    <mergeCell ref="B40:S40"/>
    <mergeCell ref="G41:M41"/>
    <mergeCell ref="N41:S41"/>
    <mergeCell ref="G42:M42"/>
    <mergeCell ref="N42:S42"/>
    <mergeCell ref="A2:T2"/>
    <mergeCell ref="B3:C3"/>
    <mergeCell ref="F3:M3"/>
    <mergeCell ref="N3:S3"/>
    <mergeCell ref="B4:S4"/>
    <mergeCell ref="F5:M5"/>
    <mergeCell ref="N5:S5"/>
    <mergeCell ref="F6:M6"/>
    <mergeCell ref="N6:S6"/>
    <mergeCell ref="B7:S7"/>
    <mergeCell ref="F8:M8"/>
    <mergeCell ref="N8:S8"/>
    <mergeCell ref="F9:M9"/>
    <mergeCell ref="N9:S9"/>
    <mergeCell ref="F10:M10"/>
    <mergeCell ref="N10:S10"/>
    <mergeCell ref="F11:M11"/>
    <mergeCell ref="N11:S11"/>
    <mergeCell ref="F12:M12"/>
    <mergeCell ref="N12:S12"/>
    <mergeCell ref="N13:S13"/>
    <mergeCell ref="B5:C5"/>
    <mergeCell ref="B6:C6"/>
    <mergeCell ref="B8:C8"/>
    <mergeCell ref="B9:C9"/>
    <mergeCell ref="B10:C10"/>
    <mergeCell ref="B11:C11"/>
    <mergeCell ref="B12:C12"/>
    <mergeCell ref="F13:M13"/>
    <mergeCell ref="A14:T14"/>
    <mergeCell ref="D15:M15"/>
    <mergeCell ref="N15:S15"/>
    <mergeCell ref="B16:S16"/>
    <mergeCell ref="D17:M17"/>
    <mergeCell ref="N17:S17"/>
    <mergeCell ref="D18:M18"/>
    <mergeCell ref="N18:S18"/>
    <mergeCell ref="D19:M19"/>
    <mergeCell ref="N19:S19"/>
    <mergeCell ref="J20:M20"/>
    <mergeCell ref="N20:P20"/>
    <mergeCell ref="B21:S21"/>
    <mergeCell ref="J22:M22"/>
    <mergeCell ref="N22:P22"/>
    <mergeCell ref="J23:M23"/>
    <mergeCell ref="N23:P23"/>
    <mergeCell ref="J24:M24"/>
    <mergeCell ref="N24:P24"/>
    <mergeCell ref="N25:P25"/>
  </mergeCells>
  <hyperlinks>
    <hyperlink r:id="rId1" ref="I22"/>
    <hyperlink r:id="rId2" ref="I23"/>
    <hyperlink r:id="rId3" ref="I24"/>
    <hyperlink r:id="rId4" ref="I25"/>
    <hyperlink r:id="rId5" ref="I26"/>
    <hyperlink r:id="rId6" ref="I27"/>
  </hyperlinks>
  <printOptions/>
  <pageMargins bottom="0.75" footer="0.0" header="0.0" left="0.7" right="0.7" top="0.75"/>
  <pageSetup orientation="landscape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4.5"/>
    <col customWidth="1" min="3" max="3" width="4.63"/>
    <col customWidth="1" min="4" max="10" width="8.13"/>
    <col customWidth="1" min="11" max="11" width="8.5"/>
    <col customWidth="1" min="12" max="12" width="2.5"/>
    <col customWidth="1" min="13" max="13" width="8.13"/>
    <col customWidth="1" min="14" max="14" width="9.13"/>
    <col customWidth="1" min="15" max="15" width="10.75"/>
    <col customWidth="1" min="16" max="18" width="9.0"/>
    <col customWidth="1" min="19" max="19" width="9.75"/>
    <col customWidth="1" min="20" max="21" width="8.63"/>
    <col customWidth="1" min="22" max="22" width="8.13"/>
    <col customWidth="1" min="23" max="23" width="3.5"/>
    <col customWidth="1" min="24" max="24" width="5.25"/>
    <col customWidth="1" min="25" max="25" width="2.13"/>
    <col customWidth="1" min="26" max="29" width="8.13"/>
    <col customWidth="1" min="30" max="35" width="8.25"/>
  </cols>
  <sheetData>
    <row r="1" ht="15.0" customHeight="1">
      <c r="A1" s="22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</row>
    <row r="2">
      <c r="A2" s="221"/>
      <c r="B2" s="222"/>
      <c r="C2" s="223" t="s">
        <v>303</v>
      </c>
      <c r="D2" s="223"/>
      <c r="E2" s="223"/>
      <c r="F2" s="223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5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</row>
    <row r="3" ht="24.0" customHeight="1">
      <c r="A3" s="221"/>
      <c r="B3" s="227"/>
      <c r="C3" s="226" t="s">
        <v>304</v>
      </c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8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</row>
    <row r="4">
      <c r="A4" s="221"/>
      <c r="B4" s="227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8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</row>
    <row r="5" ht="21.75" customHeight="1">
      <c r="A5" s="221"/>
      <c r="B5" s="227"/>
      <c r="C5" s="229" t="s">
        <v>305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4"/>
      <c r="X5" s="228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</row>
    <row r="6">
      <c r="A6" s="221"/>
      <c r="B6" s="227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8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</row>
    <row r="7">
      <c r="A7" s="221"/>
      <c r="B7" s="227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8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</row>
    <row r="8">
      <c r="A8" s="221"/>
      <c r="B8" s="227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8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</row>
    <row r="9">
      <c r="A9" s="221"/>
      <c r="B9" s="227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8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</row>
    <row r="10">
      <c r="A10" s="221"/>
      <c r="B10" s="227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30" t="s">
        <v>306</v>
      </c>
      <c r="N10" s="43"/>
      <c r="O10" s="44"/>
      <c r="P10" s="226"/>
      <c r="Q10" s="226"/>
      <c r="R10" s="226"/>
      <c r="S10" s="226"/>
      <c r="T10" s="226"/>
      <c r="U10" s="226"/>
      <c r="V10" s="226"/>
      <c r="W10" s="226"/>
      <c r="X10" s="228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</row>
    <row r="11">
      <c r="A11" s="221"/>
      <c r="B11" s="227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31" t="s">
        <v>307</v>
      </c>
      <c r="N11" s="73"/>
      <c r="O11" s="74"/>
      <c r="P11" s="226"/>
      <c r="Q11" s="226"/>
      <c r="R11" s="226"/>
      <c r="S11" s="226"/>
      <c r="T11" s="226"/>
      <c r="U11" s="226"/>
      <c r="V11" s="226"/>
      <c r="W11" s="226"/>
      <c r="X11" s="228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</row>
    <row r="12">
      <c r="A12" s="221"/>
      <c r="B12" s="227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77"/>
      <c r="N12" s="78"/>
      <c r="O12" s="79"/>
      <c r="P12" s="226"/>
      <c r="Q12" s="226"/>
      <c r="R12" s="226"/>
      <c r="S12" s="226"/>
      <c r="T12" s="226"/>
      <c r="U12" s="226"/>
      <c r="V12" s="226"/>
      <c r="W12" s="226"/>
      <c r="X12" s="228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</row>
    <row r="13">
      <c r="A13" s="221"/>
      <c r="B13" s="227"/>
      <c r="C13" s="226"/>
      <c r="D13" s="226"/>
      <c r="E13" s="226"/>
      <c r="F13" s="226"/>
      <c r="G13" s="226"/>
      <c r="H13" s="226"/>
      <c r="I13" s="221"/>
      <c r="J13" s="226"/>
      <c r="K13" s="226"/>
      <c r="L13" s="226"/>
      <c r="M13" s="226"/>
      <c r="N13" s="232"/>
      <c r="O13" s="226"/>
      <c r="P13" s="226"/>
      <c r="Q13" s="226"/>
      <c r="R13" s="226"/>
      <c r="S13" s="226"/>
      <c r="T13" s="226"/>
      <c r="U13" s="226"/>
      <c r="V13" s="226"/>
      <c r="W13" s="226"/>
      <c r="X13" s="228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</row>
    <row r="14">
      <c r="A14" s="221"/>
      <c r="B14" s="227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30" t="s">
        <v>308</v>
      </c>
      <c r="N14" s="43"/>
      <c r="O14" s="44"/>
      <c r="P14" s="233"/>
      <c r="Q14" s="226"/>
      <c r="R14" s="226"/>
      <c r="S14" s="221"/>
      <c r="T14" s="221"/>
      <c r="U14" s="226"/>
      <c r="V14" s="226"/>
      <c r="W14" s="226"/>
      <c r="X14" s="228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</row>
    <row r="15">
      <c r="A15" s="221"/>
      <c r="B15" s="227"/>
      <c r="C15" s="226"/>
      <c r="D15" s="221"/>
      <c r="E15" s="221"/>
      <c r="F15" s="221"/>
      <c r="G15" s="226"/>
      <c r="H15" s="226"/>
      <c r="I15" s="226"/>
      <c r="J15" s="226"/>
      <c r="K15" s="226"/>
      <c r="L15" s="226"/>
      <c r="M15" s="231" t="s">
        <v>309</v>
      </c>
      <c r="N15" s="73"/>
      <c r="O15" s="74"/>
      <c r="P15" s="234" t="s">
        <v>310</v>
      </c>
      <c r="Q15" s="226"/>
      <c r="R15" s="226"/>
      <c r="S15" s="226"/>
      <c r="T15" s="226"/>
      <c r="U15" s="226"/>
      <c r="V15" s="226"/>
      <c r="W15" s="226"/>
      <c r="X15" s="228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</row>
    <row r="16">
      <c r="A16" s="221"/>
      <c r="B16" s="227"/>
      <c r="C16" s="226"/>
      <c r="D16" s="221"/>
      <c r="E16" s="221"/>
      <c r="F16" s="221"/>
      <c r="G16" s="226"/>
      <c r="H16" s="226"/>
      <c r="I16" s="226"/>
      <c r="J16" s="226"/>
      <c r="K16" s="226"/>
      <c r="L16" s="226"/>
      <c r="M16" s="77"/>
      <c r="N16" s="78"/>
      <c r="O16" s="79"/>
      <c r="P16" s="234" t="s">
        <v>311</v>
      </c>
      <c r="Q16" s="226"/>
      <c r="R16" s="226"/>
      <c r="S16" s="226"/>
      <c r="T16" s="226"/>
      <c r="U16" s="221"/>
      <c r="V16" s="221"/>
      <c r="W16" s="221"/>
      <c r="X16" s="228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</row>
    <row r="17" ht="18.75" customHeight="1">
      <c r="A17" s="221"/>
      <c r="B17" s="227"/>
      <c r="C17" s="226"/>
      <c r="D17" s="221"/>
      <c r="E17" s="221"/>
      <c r="F17" s="221"/>
      <c r="G17" s="226"/>
      <c r="H17" s="226"/>
      <c r="I17" s="226"/>
      <c r="J17" s="226"/>
      <c r="K17" s="226"/>
      <c r="L17" s="235"/>
      <c r="M17" s="236"/>
      <c r="N17" s="237"/>
      <c r="O17" s="236"/>
      <c r="P17" s="221"/>
      <c r="Q17" s="235"/>
      <c r="R17" s="226"/>
      <c r="S17" s="221"/>
      <c r="T17" s="221"/>
      <c r="U17" s="221"/>
      <c r="V17" s="221"/>
      <c r="W17" s="221"/>
      <c r="X17" s="228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</row>
    <row r="18">
      <c r="A18" s="221"/>
      <c r="B18" s="227"/>
      <c r="C18" s="221"/>
      <c r="D18" s="221"/>
      <c r="E18" s="238" t="s">
        <v>312</v>
      </c>
      <c r="F18" s="43"/>
      <c r="G18" s="44"/>
      <c r="H18" s="221"/>
      <c r="I18" s="221"/>
      <c r="J18" s="226"/>
      <c r="K18" s="226"/>
      <c r="L18" s="226"/>
      <c r="M18" s="226"/>
      <c r="N18" s="239"/>
      <c r="O18" s="226"/>
      <c r="P18" s="226"/>
      <c r="Q18" s="226"/>
      <c r="R18" s="226"/>
      <c r="S18" s="226"/>
      <c r="T18" s="226"/>
      <c r="U18" s="226"/>
      <c r="V18" s="226"/>
      <c r="W18" s="226"/>
      <c r="X18" s="228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</row>
    <row r="19">
      <c r="A19" s="221"/>
      <c r="B19" s="227"/>
      <c r="C19" s="221"/>
      <c r="D19" s="221"/>
      <c r="E19" s="240" t="s">
        <v>313</v>
      </c>
      <c r="F19" s="73"/>
      <c r="G19" s="74"/>
      <c r="H19" s="221"/>
      <c r="I19" s="241"/>
      <c r="J19" s="241"/>
      <c r="K19" s="221"/>
      <c r="L19" s="221"/>
      <c r="M19" s="242" t="s">
        <v>314</v>
      </c>
      <c r="N19" s="43"/>
      <c r="O19" s="44"/>
      <c r="P19" s="243"/>
      <c r="Q19" s="221"/>
      <c r="R19" s="244" t="s">
        <v>315</v>
      </c>
      <c r="S19" s="43"/>
      <c r="T19" s="44"/>
      <c r="U19" s="245"/>
      <c r="V19" s="245"/>
      <c r="W19" s="221"/>
      <c r="X19" s="246"/>
      <c r="Y19" s="221"/>
      <c r="Z19" s="221"/>
      <c r="AA19" s="221"/>
      <c r="AB19" s="221"/>
      <c r="AC19" s="226"/>
      <c r="AD19" s="226"/>
      <c r="AE19" s="226"/>
      <c r="AF19" s="226"/>
      <c r="AG19" s="226"/>
      <c r="AH19" s="226"/>
      <c r="AI19" s="226"/>
    </row>
    <row r="20" ht="18.0" customHeight="1">
      <c r="A20" s="221"/>
      <c r="B20" s="227"/>
      <c r="C20" s="226"/>
      <c r="D20" s="221"/>
      <c r="E20" s="75"/>
      <c r="G20" s="76"/>
      <c r="H20" s="221"/>
      <c r="I20" s="221"/>
      <c r="J20" s="221"/>
      <c r="K20" s="221"/>
      <c r="L20" s="221"/>
      <c r="M20" s="247" t="s">
        <v>316</v>
      </c>
      <c r="N20" s="73"/>
      <c r="O20" s="74"/>
      <c r="P20" s="226"/>
      <c r="Q20" s="248"/>
      <c r="R20" s="247" t="s">
        <v>317</v>
      </c>
      <c r="S20" s="73"/>
      <c r="T20" s="74"/>
      <c r="U20" s="234"/>
      <c r="V20" s="233"/>
      <c r="W20" s="221"/>
      <c r="X20" s="246"/>
      <c r="Y20" s="221"/>
      <c r="Z20" s="221"/>
      <c r="AA20" s="221"/>
      <c r="AB20" s="221"/>
      <c r="AC20" s="226"/>
      <c r="AD20" s="226"/>
      <c r="AE20" s="226"/>
      <c r="AF20" s="226"/>
      <c r="AG20" s="226"/>
      <c r="AH20" s="226"/>
      <c r="AI20" s="226"/>
    </row>
    <row r="21" ht="15.75" customHeight="1">
      <c r="A21" s="221"/>
      <c r="B21" s="227"/>
      <c r="C21" s="226"/>
      <c r="D21" s="221"/>
      <c r="E21" s="249"/>
      <c r="F21" s="250"/>
      <c r="G21" s="251"/>
      <c r="H21" s="221"/>
      <c r="I21" s="221"/>
      <c r="J21" s="252" t="s">
        <v>318</v>
      </c>
      <c r="K21" s="221"/>
      <c r="L21" s="221"/>
      <c r="M21" s="77"/>
      <c r="N21" s="78"/>
      <c r="O21" s="79"/>
      <c r="P21" s="226"/>
      <c r="Q21" s="253"/>
      <c r="R21" s="77"/>
      <c r="S21" s="78"/>
      <c r="T21" s="79"/>
      <c r="U21" s="233"/>
      <c r="V21" s="233"/>
      <c r="W21" s="221"/>
      <c r="X21" s="246"/>
      <c r="Y21" s="221"/>
      <c r="Z21" s="221"/>
      <c r="AA21" s="221"/>
      <c r="AB21" s="221"/>
      <c r="AC21" s="226"/>
      <c r="AD21" s="226"/>
      <c r="AE21" s="226"/>
      <c r="AF21" s="226"/>
      <c r="AG21" s="226"/>
      <c r="AH21" s="226"/>
      <c r="AI21" s="226"/>
    </row>
    <row r="22" ht="17.25" customHeight="1">
      <c r="A22" s="221"/>
      <c r="B22" s="227"/>
      <c r="C22" s="226"/>
      <c r="D22" s="226"/>
      <c r="E22" s="239"/>
      <c r="F22" s="254"/>
      <c r="G22" s="255"/>
      <c r="H22" s="226"/>
      <c r="I22" s="226"/>
      <c r="J22" s="226"/>
      <c r="K22" s="226"/>
      <c r="L22" s="226"/>
      <c r="M22" s="226"/>
      <c r="N22" s="226"/>
      <c r="O22" s="226"/>
      <c r="P22" s="226"/>
      <c r="Q22" s="249"/>
      <c r="R22" s="226" t="s">
        <v>319</v>
      </c>
      <c r="S22" s="226"/>
      <c r="T22" s="226"/>
      <c r="U22" s="226"/>
      <c r="V22" s="226"/>
      <c r="W22" s="226"/>
      <c r="X22" s="228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</row>
    <row r="23" ht="15.75" customHeight="1">
      <c r="A23" s="221"/>
      <c r="B23" s="227"/>
      <c r="C23" s="226"/>
      <c r="D23" s="256"/>
      <c r="E23" s="256"/>
      <c r="F23" s="25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49"/>
      <c r="R23" s="226"/>
      <c r="S23" s="226"/>
      <c r="T23" s="226"/>
      <c r="U23" s="226"/>
      <c r="V23" s="226"/>
      <c r="W23" s="226"/>
      <c r="X23" s="226"/>
      <c r="Y23" s="227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</row>
    <row r="24" ht="17.25" customHeight="1">
      <c r="A24" s="221"/>
      <c r="B24" s="227"/>
      <c r="C24" s="226"/>
      <c r="D24" s="256"/>
      <c r="E24" s="256"/>
      <c r="F24" s="25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57"/>
      <c r="R24" s="258" t="s">
        <v>320</v>
      </c>
      <c r="S24" s="43"/>
      <c r="T24" s="44"/>
      <c r="U24" s="226"/>
      <c r="V24" s="226"/>
      <c r="W24" s="226"/>
      <c r="X24" s="226"/>
      <c r="Y24" s="227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</row>
    <row r="25" ht="18.75" customHeight="1">
      <c r="A25" s="221"/>
      <c r="B25" s="227"/>
      <c r="C25" s="226"/>
      <c r="D25" s="256"/>
      <c r="E25" s="256"/>
      <c r="F25" s="25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49"/>
      <c r="R25" s="259" t="s">
        <v>321</v>
      </c>
      <c r="S25" s="73"/>
      <c r="T25" s="74"/>
      <c r="U25" s="226"/>
      <c r="V25" s="226"/>
      <c r="W25" s="226"/>
      <c r="X25" s="226"/>
      <c r="Y25" s="227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</row>
    <row r="26" ht="18.75" customHeight="1">
      <c r="A26" s="221"/>
      <c r="B26" s="227"/>
      <c r="C26" s="226"/>
      <c r="D26" s="256"/>
      <c r="E26" s="256"/>
      <c r="F26" s="25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49"/>
      <c r="R26" s="77"/>
      <c r="S26" s="78"/>
      <c r="T26" s="79"/>
      <c r="U26" s="260"/>
      <c r="V26" s="226"/>
      <c r="W26" s="226"/>
      <c r="X26" s="226"/>
      <c r="Y26" s="227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</row>
    <row r="27" ht="18.75" customHeight="1">
      <c r="A27" s="221"/>
      <c r="B27" s="227"/>
      <c r="C27" s="226"/>
      <c r="D27" s="256"/>
      <c r="E27" s="256"/>
      <c r="F27" s="25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49"/>
      <c r="R27" s="226"/>
      <c r="S27" s="226"/>
      <c r="T27" s="226"/>
      <c r="U27" s="226"/>
      <c r="V27" s="226"/>
      <c r="W27" s="226"/>
      <c r="X27" s="226"/>
      <c r="Y27" s="227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</row>
    <row r="28" ht="18.75" customHeight="1">
      <c r="A28" s="221"/>
      <c r="B28" s="227"/>
      <c r="C28" s="226"/>
      <c r="D28" s="256"/>
      <c r="E28" s="256"/>
      <c r="F28" s="25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57"/>
      <c r="R28" s="258" t="s">
        <v>322</v>
      </c>
      <c r="S28" s="43"/>
      <c r="T28" s="44"/>
      <c r="U28" s="226"/>
      <c r="V28" s="226"/>
      <c r="W28" s="226"/>
      <c r="X28" s="226"/>
      <c r="Y28" s="227"/>
      <c r="Z28" s="226"/>
      <c r="AA28" s="226"/>
      <c r="AB28" s="226"/>
      <c r="AC28" s="226"/>
      <c r="AD28" s="226"/>
      <c r="AE28" s="226"/>
      <c r="AF28" s="226"/>
      <c r="AG28" s="226"/>
      <c r="AH28" s="226"/>
      <c r="AI28" s="226"/>
    </row>
    <row r="29" ht="18.75" customHeight="1">
      <c r="A29" s="221"/>
      <c r="B29" s="227"/>
      <c r="C29" s="226"/>
      <c r="D29" s="256"/>
      <c r="E29" s="256"/>
      <c r="F29" s="25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49"/>
      <c r="R29" s="259" t="s">
        <v>323</v>
      </c>
      <c r="S29" s="73"/>
      <c r="T29" s="74"/>
      <c r="U29" s="226"/>
      <c r="V29" s="226"/>
      <c r="W29" s="226"/>
      <c r="X29" s="226"/>
      <c r="Y29" s="227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</row>
    <row r="30" ht="18.75" customHeight="1">
      <c r="A30" s="221"/>
      <c r="B30" s="227"/>
      <c r="C30" s="226"/>
      <c r="D30" s="256"/>
      <c r="E30" s="256"/>
      <c r="F30" s="25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49"/>
      <c r="R30" s="77"/>
      <c r="S30" s="78"/>
      <c r="T30" s="79"/>
      <c r="U30" s="260"/>
      <c r="V30" s="233"/>
      <c r="W30" s="233"/>
      <c r="X30" s="226"/>
      <c r="Y30" s="227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</row>
    <row r="31" ht="18.75" customHeight="1">
      <c r="A31" s="221"/>
      <c r="B31" s="227"/>
      <c r="C31" s="226"/>
      <c r="D31" s="256"/>
      <c r="E31" s="256"/>
      <c r="F31" s="25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53"/>
      <c r="R31" s="221"/>
      <c r="S31" s="221"/>
      <c r="T31" s="221"/>
      <c r="U31" s="233"/>
      <c r="V31" s="233"/>
      <c r="W31" s="233"/>
      <c r="X31" s="226"/>
      <c r="Y31" s="227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</row>
    <row r="32" ht="18.75" customHeight="1">
      <c r="A32" s="221"/>
      <c r="B32" s="227"/>
      <c r="C32" s="226"/>
      <c r="D32" s="256"/>
      <c r="E32" s="256"/>
      <c r="F32" s="25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61"/>
      <c r="R32" s="258" t="s">
        <v>324</v>
      </c>
      <c r="S32" s="43"/>
      <c r="T32" s="44"/>
      <c r="U32" s="233"/>
      <c r="V32" s="233"/>
      <c r="W32" s="233"/>
      <c r="X32" s="226"/>
      <c r="Y32" s="227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</row>
    <row r="33" ht="18.75" customHeight="1">
      <c r="A33" s="221"/>
      <c r="B33" s="227"/>
      <c r="C33" s="226"/>
      <c r="D33" s="256"/>
      <c r="E33" s="256"/>
      <c r="F33" s="25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49"/>
      <c r="R33" s="259" t="s">
        <v>325</v>
      </c>
      <c r="S33" s="73"/>
      <c r="T33" s="74"/>
      <c r="U33" s="233"/>
      <c r="V33" s="233"/>
      <c r="W33" s="233"/>
      <c r="X33" s="226"/>
      <c r="Y33" s="227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</row>
    <row r="34" ht="18.75" customHeight="1">
      <c r="A34" s="221"/>
      <c r="B34" s="227"/>
      <c r="C34" s="226"/>
      <c r="D34" s="256"/>
      <c r="E34" s="256"/>
      <c r="F34" s="25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49"/>
      <c r="R34" s="77"/>
      <c r="S34" s="78"/>
      <c r="T34" s="79"/>
      <c r="U34" s="260"/>
      <c r="V34" s="233"/>
      <c r="W34" s="233"/>
      <c r="X34" s="226"/>
      <c r="Y34" s="227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</row>
    <row r="35" ht="18.75" customHeight="1">
      <c r="A35" s="221"/>
      <c r="B35" s="227"/>
      <c r="C35" s="226"/>
      <c r="D35" s="256"/>
      <c r="E35" s="256"/>
      <c r="F35" s="256"/>
      <c r="G35" s="226"/>
      <c r="H35" s="226"/>
      <c r="I35" s="226"/>
      <c r="J35" s="226"/>
      <c r="K35" s="226"/>
      <c r="L35" s="226"/>
      <c r="M35" s="262"/>
      <c r="N35" s="262"/>
      <c r="O35" s="262"/>
      <c r="P35" s="262"/>
      <c r="Q35" s="263"/>
      <c r="R35" s="226"/>
      <c r="S35" s="226"/>
      <c r="T35" s="233"/>
      <c r="U35" s="233"/>
      <c r="V35" s="233"/>
      <c r="W35" s="233"/>
      <c r="X35" s="226"/>
      <c r="Y35" s="227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</row>
    <row r="36" ht="18.75" customHeight="1">
      <c r="A36" s="221"/>
      <c r="B36" s="227"/>
      <c r="C36" s="226"/>
      <c r="D36" s="256"/>
      <c r="E36" s="256"/>
      <c r="F36" s="256"/>
      <c r="G36" s="226"/>
      <c r="H36" s="226"/>
      <c r="I36" s="226"/>
      <c r="J36" s="226"/>
      <c r="K36" s="226"/>
      <c r="L36" s="226"/>
      <c r="M36" s="262"/>
      <c r="N36" s="226"/>
      <c r="O36" s="226"/>
      <c r="P36" s="226"/>
      <c r="Q36" s="261"/>
      <c r="R36" s="258" t="s">
        <v>326</v>
      </c>
      <c r="S36" s="43"/>
      <c r="T36" s="44"/>
      <c r="U36" s="233"/>
      <c r="V36" s="233"/>
      <c r="W36" s="233"/>
      <c r="X36" s="226"/>
      <c r="Y36" s="227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</row>
    <row r="37" ht="18.75" customHeight="1">
      <c r="A37" s="221"/>
      <c r="B37" s="227"/>
      <c r="C37" s="226"/>
      <c r="D37" s="256"/>
      <c r="E37" s="256"/>
      <c r="F37" s="256"/>
      <c r="G37" s="226"/>
      <c r="H37" s="226"/>
      <c r="I37" s="226"/>
      <c r="J37" s="226"/>
      <c r="K37" s="226"/>
      <c r="L37" s="226"/>
      <c r="M37" s="262"/>
      <c r="N37" s="226"/>
      <c r="O37" s="226"/>
      <c r="P37" s="226"/>
      <c r="Q37" s="226"/>
      <c r="R37" s="259" t="s">
        <v>327</v>
      </c>
      <c r="S37" s="73"/>
      <c r="T37" s="74"/>
      <c r="U37" s="233"/>
      <c r="V37" s="233"/>
      <c r="W37" s="233"/>
      <c r="X37" s="226"/>
      <c r="Y37" s="227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</row>
    <row r="38" ht="18.75" customHeight="1">
      <c r="A38" s="221"/>
      <c r="B38" s="227"/>
      <c r="C38" s="226"/>
      <c r="D38" s="256"/>
      <c r="E38" s="221"/>
      <c r="F38" s="221"/>
      <c r="G38" s="221"/>
      <c r="H38" s="256"/>
      <c r="I38" s="256"/>
      <c r="J38" s="256"/>
      <c r="K38" s="226"/>
      <c r="L38" s="226"/>
      <c r="M38" s="221"/>
      <c r="N38" s="226"/>
      <c r="O38" s="226"/>
      <c r="P38" s="226"/>
      <c r="Q38" s="226"/>
      <c r="R38" s="77"/>
      <c r="S38" s="78"/>
      <c r="T38" s="79"/>
      <c r="U38" s="260"/>
      <c r="V38" s="264"/>
      <c r="W38" s="264"/>
      <c r="X38" s="264"/>
      <c r="Y38" s="227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</row>
    <row r="39" ht="15.75" customHeight="1">
      <c r="A39" s="221"/>
      <c r="B39" s="227"/>
      <c r="C39" s="226"/>
      <c r="D39" s="256"/>
      <c r="E39" s="221"/>
      <c r="F39" s="221"/>
      <c r="G39" s="221"/>
      <c r="H39" s="256"/>
      <c r="I39" s="256"/>
      <c r="J39" s="256"/>
      <c r="K39" s="226"/>
      <c r="L39" s="226"/>
      <c r="M39" s="221"/>
      <c r="N39" s="221"/>
      <c r="O39" s="221"/>
      <c r="P39" s="264"/>
      <c r="Q39" s="264"/>
      <c r="R39" s="264"/>
      <c r="S39" s="264"/>
      <c r="T39" s="264"/>
      <c r="U39" s="264"/>
      <c r="V39" s="264"/>
      <c r="W39" s="226"/>
      <c r="X39" s="226"/>
      <c r="Y39" s="227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</row>
    <row r="40" ht="18.0" customHeight="1">
      <c r="A40" s="221"/>
      <c r="B40" s="227"/>
      <c r="C40" s="221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64"/>
      <c r="Q40" s="265"/>
      <c r="W40" s="226"/>
      <c r="X40" s="246"/>
      <c r="Y40" s="226"/>
      <c r="Z40" s="221"/>
      <c r="AA40" s="226"/>
      <c r="AB40" s="226"/>
      <c r="AC40" s="226"/>
      <c r="AD40" s="226"/>
      <c r="AE40" s="226"/>
      <c r="AF40" s="226"/>
      <c r="AG40" s="226"/>
      <c r="AH40" s="226"/>
      <c r="AI40" s="226"/>
    </row>
    <row r="41" ht="15.75" customHeight="1">
      <c r="A41" s="221"/>
      <c r="B41" s="227"/>
      <c r="C41" s="221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64"/>
      <c r="W41" s="226"/>
      <c r="X41" s="246"/>
      <c r="Y41" s="226"/>
      <c r="Z41" s="221"/>
      <c r="AA41" s="226"/>
      <c r="AB41" s="226"/>
      <c r="AC41" s="226"/>
      <c r="AD41" s="226"/>
      <c r="AE41" s="226"/>
      <c r="AF41" s="226"/>
      <c r="AG41" s="226"/>
      <c r="AH41" s="226"/>
      <c r="AI41" s="226"/>
    </row>
    <row r="42" ht="15.75" customHeight="1">
      <c r="A42" s="221"/>
      <c r="B42" s="227"/>
      <c r="C42" s="221"/>
      <c r="D42" s="221"/>
      <c r="E42" s="221"/>
      <c r="F42" s="221"/>
      <c r="G42" s="226"/>
      <c r="H42" s="226"/>
      <c r="I42" s="226"/>
      <c r="J42" s="226"/>
      <c r="K42" s="226"/>
      <c r="L42" s="226"/>
      <c r="M42" s="226"/>
      <c r="N42" s="221"/>
      <c r="O42" s="226"/>
      <c r="P42" s="233"/>
      <c r="R42" s="233"/>
      <c r="S42" s="226"/>
      <c r="T42" s="266"/>
      <c r="U42" s="264" t="s">
        <v>328</v>
      </c>
      <c r="V42" s="264"/>
      <c r="W42" s="226"/>
      <c r="X42" s="246"/>
      <c r="Y42" s="226"/>
      <c r="Z42" s="221"/>
      <c r="AA42" s="226"/>
      <c r="AB42" s="226"/>
      <c r="AC42" s="226"/>
      <c r="AD42" s="226"/>
      <c r="AE42" s="226"/>
      <c r="AF42" s="226"/>
      <c r="AG42" s="226"/>
      <c r="AH42" s="226"/>
      <c r="AI42" s="226"/>
    </row>
    <row r="43" ht="15.75" customHeight="1">
      <c r="A43" s="221"/>
      <c r="B43" s="227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8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</row>
    <row r="44" ht="15.75" customHeight="1">
      <c r="A44" s="221"/>
      <c r="B44" s="227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8"/>
      <c r="Y44" s="226"/>
      <c r="Z44" s="226"/>
      <c r="AA44" s="226"/>
      <c r="AB44" s="226"/>
      <c r="AC44" s="226"/>
      <c r="AD44" s="226"/>
      <c r="AE44" s="226"/>
      <c r="AF44" s="226"/>
      <c r="AG44" s="226"/>
      <c r="AH44" s="226"/>
      <c r="AI44" s="226"/>
    </row>
    <row r="45" ht="15.75" customHeight="1">
      <c r="A45" s="221"/>
      <c r="B45" s="267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9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</row>
    <row r="46" ht="15.75" customHeight="1">
      <c r="A46" s="221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</row>
    <row r="47" ht="15.75" customHeight="1">
      <c r="A47" s="221"/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</row>
    <row r="48" ht="15.75" customHeight="1">
      <c r="A48" s="221"/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  <c r="AI48" s="226"/>
    </row>
    <row r="49" ht="15.75" customHeight="1">
      <c r="A49" s="221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</row>
    <row r="50" ht="15.75" customHeight="1">
      <c r="A50" s="221"/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</row>
    <row r="51" ht="15.75" customHeight="1">
      <c r="A51" s="221"/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</row>
    <row r="52" ht="15.75" customHeight="1">
      <c r="A52" s="221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</row>
    <row r="53" ht="15.75" customHeight="1">
      <c r="A53" s="221"/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</row>
    <row r="54" ht="15.75" customHeight="1">
      <c r="A54" s="221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</row>
    <row r="55" ht="15.75" customHeight="1">
      <c r="A55" s="221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</row>
    <row r="56" ht="15.75" customHeight="1">
      <c r="A56" s="221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</row>
    <row r="57" ht="15.75" customHeight="1">
      <c r="A57" s="221"/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</row>
    <row r="58" ht="15.75" customHeight="1">
      <c r="A58" s="221"/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</row>
    <row r="59" ht="15.75" customHeight="1">
      <c r="A59" s="221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</row>
    <row r="60" ht="15.75" customHeight="1">
      <c r="A60" s="221"/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</row>
    <row r="61" ht="15.75" customHeight="1">
      <c r="A61" s="221"/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</row>
    <row r="62" ht="15.75" customHeight="1">
      <c r="A62" s="221"/>
      <c r="B62" s="226"/>
      <c r="C62" s="226"/>
      <c r="D62" s="226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</row>
    <row r="63" ht="15.75" customHeight="1">
      <c r="A63" s="221"/>
      <c r="B63" s="226"/>
      <c r="C63" s="226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</row>
    <row r="64" ht="15.75" customHeight="1">
      <c r="A64" s="221"/>
      <c r="B64" s="226"/>
      <c r="C64" s="226"/>
      <c r="D64" s="226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</row>
    <row r="65" ht="15.75" customHeight="1">
      <c r="A65" s="221"/>
      <c r="B65" s="226"/>
      <c r="C65" s="226"/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</row>
    <row r="66" ht="15.75" customHeight="1">
      <c r="A66" s="221"/>
      <c r="B66" s="226"/>
      <c r="C66" s="226"/>
      <c r="D66" s="226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</row>
    <row r="67" ht="15.75" customHeight="1">
      <c r="A67" s="221"/>
      <c r="B67" s="226"/>
      <c r="C67" s="226"/>
      <c r="D67" s="226"/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</row>
    <row r="68" ht="15.75" customHeight="1">
      <c r="A68" s="221"/>
      <c r="B68" s="226"/>
      <c r="C68" s="226"/>
      <c r="D68" s="226"/>
      <c r="E68" s="226"/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</row>
    <row r="69" ht="15.75" customHeight="1">
      <c r="A69" s="221"/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</row>
    <row r="70" ht="15.75" customHeight="1">
      <c r="A70" s="221"/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</row>
    <row r="71" ht="15.75" customHeight="1">
      <c r="A71" s="221"/>
      <c r="B71" s="226"/>
      <c r="C71" s="226"/>
      <c r="D71" s="226"/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</row>
    <row r="72" ht="15.75" customHeight="1">
      <c r="A72" s="221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</row>
    <row r="73" ht="15.75" customHeight="1">
      <c r="A73" s="221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</row>
    <row r="74" ht="15.75" customHeight="1">
      <c r="A74" s="221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</row>
    <row r="75" ht="15.75" customHeight="1">
      <c r="A75" s="221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</row>
    <row r="76" ht="15.75" customHeight="1">
      <c r="A76" s="221"/>
      <c r="B76" s="226"/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</row>
    <row r="77" ht="15.75" customHeight="1">
      <c r="A77" s="221"/>
      <c r="B77" s="226"/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</row>
    <row r="78" ht="15.75" customHeight="1">
      <c r="A78" s="221"/>
      <c r="B78" s="226"/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</row>
    <row r="79" ht="15.75" customHeight="1">
      <c r="A79" s="221"/>
      <c r="B79" s="226"/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</row>
    <row r="80" ht="15.75" customHeight="1">
      <c r="A80" s="221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</row>
    <row r="81" ht="15.75" customHeight="1">
      <c r="A81" s="221"/>
      <c r="B81" s="226"/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</row>
    <row r="82" ht="15.75" customHeight="1">
      <c r="A82" s="221"/>
      <c r="B82" s="226"/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</row>
    <row r="83" ht="15.75" customHeight="1">
      <c r="A83" s="221"/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</row>
    <row r="84" ht="15.75" customHeight="1">
      <c r="A84" s="221"/>
      <c r="B84" s="226"/>
      <c r="C84" s="226"/>
      <c r="D84" s="226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</row>
    <row r="85" ht="15.75" customHeight="1">
      <c r="A85" s="221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</row>
    <row r="86" ht="15.75" customHeight="1">
      <c r="A86" s="221"/>
      <c r="B86" s="226"/>
      <c r="C86" s="226"/>
      <c r="D86" s="226"/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</row>
    <row r="87" ht="15.75" customHeight="1">
      <c r="A87" s="221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</row>
    <row r="88" ht="15.75" customHeight="1">
      <c r="A88" s="221"/>
      <c r="B88" s="226"/>
      <c r="C88" s="226"/>
      <c r="D88" s="226"/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</row>
    <row r="89" ht="15.75" customHeight="1">
      <c r="A89" s="221"/>
      <c r="B89" s="226"/>
      <c r="C89" s="226"/>
      <c r="D89" s="226"/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</row>
    <row r="90" ht="15.75" customHeight="1">
      <c r="A90" s="221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  <c r="AB90" s="226"/>
      <c r="AC90" s="226"/>
      <c r="AD90" s="226"/>
      <c r="AE90" s="226"/>
      <c r="AF90" s="226"/>
      <c r="AG90" s="226"/>
      <c r="AH90" s="226"/>
      <c r="AI90" s="226"/>
    </row>
    <row r="91" ht="15.75" customHeight="1">
      <c r="A91" s="221"/>
      <c r="B91" s="226"/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  <c r="AA91" s="226"/>
      <c r="AB91" s="226"/>
      <c r="AC91" s="226"/>
      <c r="AD91" s="226"/>
      <c r="AE91" s="226"/>
      <c r="AF91" s="226"/>
      <c r="AG91" s="226"/>
      <c r="AH91" s="226"/>
      <c r="AI91" s="226"/>
    </row>
    <row r="92" ht="15.75" customHeight="1">
      <c r="A92" s="221"/>
      <c r="B92" s="226"/>
      <c r="C92" s="226"/>
      <c r="D92" s="226"/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226"/>
      <c r="AD92" s="226"/>
      <c r="AE92" s="226"/>
      <c r="AF92" s="226"/>
      <c r="AG92" s="226"/>
      <c r="AH92" s="226"/>
      <c r="AI92" s="226"/>
    </row>
    <row r="93" ht="15.75" customHeight="1">
      <c r="A93" s="221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  <c r="AB93" s="226"/>
      <c r="AC93" s="226"/>
      <c r="AD93" s="226"/>
      <c r="AE93" s="226"/>
      <c r="AF93" s="226"/>
      <c r="AG93" s="226"/>
      <c r="AH93" s="226"/>
      <c r="AI93" s="226"/>
    </row>
    <row r="94" ht="15.75" customHeight="1">
      <c r="A94" s="221"/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  <c r="AA94" s="226"/>
      <c r="AB94" s="226"/>
      <c r="AC94" s="226"/>
      <c r="AD94" s="226"/>
      <c r="AE94" s="226"/>
      <c r="AF94" s="226"/>
      <c r="AG94" s="226"/>
      <c r="AH94" s="226"/>
      <c r="AI94" s="226"/>
    </row>
    <row r="95" ht="15.75" customHeight="1">
      <c r="A95" s="221"/>
      <c r="B95" s="226"/>
      <c r="C95" s="226"/>
      <c r="D95" s="226"/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</row>
    <row r="96" ht="15.75" customHeight="1">
      <c r="A96" s="221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  <c r="AD96" s="226"/>
      <c r="AE96" s="226"/>
      <c r="AF96" s="226"/>
      <c r="AG96" s="226"/>
      <c r="AH96" s="226"/>
      <c r="AI96" s="226"/>
    </row>
    <row r="97" ht="15.75" customHeight="1">
      <c r="A97" s="221"/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  <c r="AB97" s="226"/>
      <c r="AC97" s="226"/>
      <c r="AD97" s="226"/>
      <c r="AE97" s="226"/>
      <c r="AF97" s="226"/>
      <c r="AG97" s="226"/>
      <c r="AH97" s="226"/>
      <c r="AI97" s="226"/>
    </row>
    <row r="98" ht="15.75" customHeight="1">
      <c r="A98" s="221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226"/>
      <c r="AD98" s="226"/>
      <c r="AE98" s="226"/>
      <c r="AF98" s="226"/>
      <c r="AG98" s="226"/>
      <c r="AH98" s="226"/>
      <c r="AI98" s="226"/>
    </row>
    <row r="99" ht="15.75" customHeight="1">
      <c r="A99" s="221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26"/>
    </row>
    <row r="100" ht="15.75" customHeight="1">
      <c r="A100" s="221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  <c r="AA100" s="226"/>
      <c r="AB100" s="226"/>
      <c r="AC100" s="226"/>
      <c r="AD100" s="226"/>
      <c r="AE100" s="226"/>
      <c r="AF100" s="226"/>
      <c r="AG100" s="226"/>
      <c r="AH100" s="226"/>
      <c r="AI100" s="226"/>
    </row>
    <row r="101" ht="15.75" customHeight="1">
      <c r="A101" s="221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</row>
    <row r="102" ht="15.75" customHeight="1">
      <c r="A102" s="221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26"/>
    </row>
    <row r="103" ht="15.75" customHeight="1">
      <c r="A103" s="221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</row>
    <row r="104" ht="15.75" customHeight="1">
      <c r="A104" s="221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6"/>
    </row>
    <row r="105" ht="15.75" customHeight="1">
      <c r="A105" s="221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</row>
    <row r="106" ht="15.75" customHeight="1">
      <c r="A106" s="221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</row>
    <row r="107" ht="15.75" customHeight="1">
      <c r="A107" s="221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  <c r="AI107" s="226"/>
    </row>
    <row r="108" ht="15.75" customHeight="1">
      <c r="A108" s="221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</row>
    <row r="109" ht="15.75" customHeight="1">
      <c r="A109" s="221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26"/>
    </row>
    <row r="110" ht="15.75" customHeight="1">
      <c r="A110" s="221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  <c r="AA110" s="226"/>
      <c r="AB110" s="226"/>
      <c r="AC110" s="226"/>
      <c r="AD110" s="226"/>
      <c r="AE110" s="226"/>
      <c r="AF110" s="226"/>
      <c r="AG110" s="226"/>
      <c r="AH110" s="226"/>
      <c r="AI110" s="226"/>
    </row>
    <row r="111" ht="15.75" customHeight="1">
      <c r="A111" s="221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</row>
    <row r="112" ht="15.75" customHeight="1">
      <c r="A112" s="221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  <c r="AA112" s="226"/>
      <c r="AB112" s="226"/>
      <c r="AC112" s="226"/>
      <c r="AD112" s="226"/>
      <c r="AE112" s="226"/>
      <c r="AF112" s="226"/>
      <c r="AG112" s="226"/>
      <c r="AH112" s="226"/>
      <c r="AI112" s="226"/>
    </row>
    <row r="113" ht="15.75" customHeight="1">
      <c r="A113" s="221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</row>
    <row r="114" ht="15.75" customHeight="1">
      <c r="A114" s="221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  <c r="AA114" s="226"/>
      <c r="AB114" s="226"/>
      <c r="AC114" s="226"/>
      <c r="AD114" s="226"/>
      <c r="AE114" s="226"/>
      <c r="AF114" s="226"/>
      <c r="AG114" s="226"/>
      <c r="AH114" s="226"/>
      <c r="AI114" s="226"/>
    </row>
    <row r="115" ht="15.75" customHeight="1">
      <c r="A115" s="221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  <c r="AG115" s="226"/>
      <c r="AH115" s="226"/>
      <c r="AI115" s="226"/>
    </row>
    <row r="116" ht="15.75" customHeight="1">
      <c r="A116" s="221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  <c r="AA116" s="226"/>
      <c r="AB116" s="226"/>
      <c r="AC116" s="226"/>
      <c r="AD116" s="226"/>
      <c r="AE116" s="226"/>
      <c r="AF116" s="226"/>
      <c r="AG116" s="226"/>
      <c r="AH116" s="226"/>
      <c r="AI116" s="226"/>
    </row>
    <row r="117" ht="15.75" customHeight="1">
      <c r="A117" s="221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</row>
    <row r="118" ht="15.75" customHeight="1">
      <c r="A118" s="221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  <c r="AA118" s="226"/>
      <c r="AB118" s="226"/>
      <c r="AC118" s="226"/>
      <c r="AD118" s="226"/>
      <c r="AE118" s="226"/>
      <c r="AF118" s="226"/>
      <c r="AG118" s="226"/>
      <c r="AH118" s="226"/>
      <c r="AI118" s="226"/>
    </row>
    <row r="119" ht="15.75" customHeight="1">
      <c r="A119" s="221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  <c r="AA119" s="226"/>
      <c r="AB119" s="226"/>
      <c r="AC119" s="226"/>
      <c r="AD119" s="226"/>
      <c r="AE119" s="226"/>
      <c r="AF119" s="226"/>
      <c r="AG119" s="226"/>
      <c r="AH119" s="226"/>
      <c r="AI119" s="226"/>
    </row>
    <row r="120" ht="15.75" customHeight="1">
      <c r="A120" s="221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  <c r="AA120" s="226"/>
      <c r="AB120" s="226"/>
      <c r="AC120" s="226"/>
      <c r="AD120" s="226"/>
      <c r="AE120" s="226"/>
      <c r="AF120" s="226"/>
      <c r="AG120" s="226"/>
      <c r="AH120" s="226"/>
      <c r="AI120" s="226"/>
    </row>
    <row r="121" ht="15.75" customHeight="1">
      <c r="A121" s="221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  <c r="AG121" s="226"/>
      <c r="AH121" s="226"/>
      <c r="AI121" s="226"/>
    </row>
    <row r="122" ht="15.75" customHeight="1">
      <c r="A122" s="221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  <c r="AB122" s="226"/>
      <c r="AC122" s="226"/>
      <c r="AD122" s="226"/>
      <c r="AE122" s="226"/>
      <c r="AF122" s="226"/>
      <c r="AG122" s="226"/>
      <c r="AH122" s="226"/>
      <c r="AI122" s="226"/>
    </row>
    <row r="123" ht="15.75" customHeight="1">
      <c r="A123" s="221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  <c r="AA123" s="226"/>
      <c r="AB123" s="226"/>
      <c r="AC123" s="226"/>
      <c r="AD123" s="226"/>
      <c r="AE123" s="226"/>
      <c r="AF123" s="226"/>
      <c r="AG123" s="226"/>
      <c r="AH123" s="226"/>
      <c r="AI123" s="226"/>
    </row>
    <row r="124" ht="15.75" customHeight="1">
      <c r="A124" s="221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  <c r="AA124" s="226"/>
      <c r="AB124" s="226"/>
      <c r="AC124" s="226"/>
      <c r="AD124" s="226"/>
      <c r="AE124" s="226"/>
      <c r="AF124" s="226"/>
      <c r="AG124" s="226"/>
      <c r="AH124" s="226"/>
      <c r="AI124" s="226"/>
    </row>
    <row r="125" ht="15.75" customHeight="1">
      <c r="A125" s="221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  <c r="AG125" s="226"/>
      <c r="AH125" s="226"/>
      <c r="AI125" s="226"/>
    </row>
    <row r="126" ht="15.75" customHeight="1">
      <c r="A126" s="221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  <c r="AA126" s="226"/>
      <c r="AB126" s="226"/>
      <c r="AC126" s="226"/>
      <c r="AD126" s="226"/>
      <c r="AE126" s="226"/>
      <c r="AF126" s="226"/>
      <c r="AG126" s="226"/>
      <c r="AH126" s="226"/>
      <c r="AI126" s="226"/>
    </row>
    <row r="127" ht="15.75" customHeight="1">
      <c r="A127" s="221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</row>
    <row r="128" ht="15.75" customHeight="1">
      <c r="A128" s="221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  <c r="AA128" s="226"/>
      <c r="AB128" s="226"/>
      <c r="AC128" s="226"/>
      <c r="AD128" s="226"/>
      <c r="AE128" s="226"/>
      <c r="AF128" s="226"/>
      <c r="AG128" s="226"/>
      <c r="AH128" s="226"/>
      <c r="AI128" s="226"/>
    </row>
    <row r="129" ht="15.75" customHeight="1">
      <c r="A129" s="221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  <c r="AB129" s="226"/>
      <c r="AC129" s="226"/>
      <c r="AD129" s="226"/>
      <c r="AE129" s="226"/>
      <c r="AF129" s="226"/>
      <c r="AG129" s="226"/>
      <c r="AH129" s="226"/>
      <c r="AI129" s="226"/>
    </row>
    <row r="130" ht="15.75" customHeight="1">
      <c r="A130" s="221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  <c r="AB130" s="226"/>
      <c r="AC130" s="226"/>
      <c r="AD130" s="226"/>
      <c r="AE130" s="226"/>
      <c r="AF130" s="226"/>
      <c r="AG130" s="226"/>
      <c r="AH130" s="226"/>
      <c r="AI130" s="226"/>
    </row>
    <row r="131" ht="15.75" customHeight="1">
      <c r="A131" s="221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  <c r="AG131" s="226"/>
      <c r="AH131" s="226"/>
      <c r="AI131" s="226"/>
    </row>
    <row r="132" ht="15.75" customHeight="1">
      <c r="A132" s="221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  <c r="AB132" s="226"/>
      <c r="AC132" s="226"/>
      <c r="AD132" s="226"/>
      <c r="AE132" s="226"/>
      <c r="AF132" s="226"/>
      <c r="AG132" s="226"/>
      <c r="AH132" s="226"/>
      <c r="AI132" s="226"/>
    </row>
    <row r="133" ht="15.75" customHeight="1">
      <c r="A133" s="221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</row>
    <row r="134" ht="15.75" customHeight="1">
      <c r="A134" s="221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</row>
    <row r="135" ht="15.75" customHeight="1">
      <c r="A135" s="221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</row>
    <row r="136" ht="15.75" customHeight="1">
      <c r="A136" s="221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</row>
    <row r="137" ht="15.75" customHeight="1">
      <c r="A137" s="221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</row>
    <row r="138" ht="15.75" customHeight="1">
      <c r="A138" s="221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</row>
    <row r="139" ht="15.75" customHeight="1">
      <c r="A139" s="221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  <c r="AA139" s="226"/>
      <c r="AB139" s="226"/>
      <c r="AC139" s="226"/>
      <c r="AD139" s="226"/>
      <c r="AE139" s="226"/>
      <c r="AF139" s="226"/>
      <c r="AG139" s="226"/>
      <c r="AH139" s="226"/>
      <c r="AI139" s="226"/>
    </row>
    <row r="140" ht="15.75" customHeight="1">
      <c r="A140" s="221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  <c r="AA140" s="226"/>
      <c r="AB140" s="226"/>
      <c r="AC140" s="226"/>
      <c r="AD140" s="226"/>
      <c r="AE140" s="226"/>
      <c r="AF140" s="226"/>
      <c r="AG140" s="226"/>
      <c r="AH140" s="226"/>
      <c r="AI140" s="226"/>
    </row>
    <row r="141" ht="15.75" customHeight="1">
      <c r="A141" s="221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  <c r="AA141" s="226"/>
      <c r="AB141" s="226"/>
      <c r="AC141" s="226"/>
      <c r="AD141" s="226"/>
      <c r="AE141" s="226"/>
      <c r="AF141" s="226"/>
      <c r="AG141" s="226"/>
      <c r="AH141" s="226"/>
      <c r="AI141" s="226"/>
    </row>
    <row r="142" ht="15.75" customHeight="1">
      <c r="A142" s="221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  <c r="AA142" s="226"/>
      <c r="AB142" s="226"/>
      <c r="AC142" s="226"/>
      <c r="AD142" s="226"/>
      <c r="AE142" s="226"/>
      <c r="AF142" s="226"/>
      <c r="AG142" s="226"/>
      <c r="AH142" s="226"/>
      <c r="AI142" s="226"/>
    </row>
    <row r="143" ht="15.75" customHeight="1">
      <c r="A143" s="221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  <c r="AB143" s="226"/>
      <c r="AC143" s="226"/>
      <c r="AD143" s="226"/>
      <c r="AE143" s="226"/>
      <c r="AF143" s="226"/>
      <c r="AG143" s="226"/>
      <c r="AH143" s="226"/>
      <c r="AI143" s="226"/>
    </row>
    <row r="144" ht="15.75" customHeight="1">
      <c r="A144" s="221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  <c r="AB144" s="226"/>
      <c r="AC144" s="226"/>
      <c r="AD144" s="226"/>
      <c r="AE144" s="226"/>
      <c r="AF144" s="226"/>
      <c r="AG144" s="226"/>
      <c r="AH144" s="226"/>
      <c r="AI144" s="226"/>
    </row>
    <row r="145" ht="15.75" customHeight="1">
      <c r="A145" s="221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  <c r="AG145" s="226"/>
      <c r="AH145" s="226"/>
      <c r="AI145" s="226"/>
    </row>
    <row r="146" ht="15.75" customHeight="1">
      <c r="A146" s="221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/>
      <c r="AG146" s="226"/>
      <c r="AH146" s="226"/>
      <c r="AI146" s="226"/>
    </row>
    <row r="147" ht="15.75" customHeight="1">
      <c r="A147" s="221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</row>
    <row r="148" ht="15.75" customHeight="1">
      <c r="A148" s="221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</row>
    <row r="149" ht="15.75" customHeight="1">
      <c r="A149" s="221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/>
      <c r="AG149" s="226"/>
      <c r="AH149" s="226"/>
      <c r="AI149" s="226"/>
    </row>
    <row r="150" ht="15.75" customHeight="1">
      <c r="A150" s="221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  <c r="AA150" s="226"/>
      <c r="AB150" s="226"/>
      <c r="AC150" s="226"/>
      <c r="AD150" s="226"/>
      <c r="AE150" s="226"/>
      <c r="AF150" s="226"/>
      <c r="AG150" s="226"/>
      <c r="AH150" s="226"/>
      <c r="AI150" s="226"/>
    </row>
    <row r="151" ht="15.75" customHeight="1">
      <c r="A151" s="221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  <c r="AB151" s="226"/>
      <c r="AC151" s="226"/>
      <c r="AD151" s="226"/>
      <c r="AE151" s="226"/>
      <c r="AF151" s="226"/>
      <c r="AG151" s="226"/>
      <c r="AH151" s="226"/>
      <c r="AI151" s="226"/>
    </row>
    <row r="152" ht="15.75" customHeight="1">
      <c r="A152" s="221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  <c r="AA152" s="226"/>
      <c r="AB152" s="226"/>
      <c r="AC152" s="226"/>
      <c r="AD152" s="226"/>
      <c r="AE152" s="226"/>
      <c r="AF152" s="226"/>
      <c r="AG152" s="226"/>
      <c r="AH152" s="226"/>
      <c r="AI152" s="226"/>
    </row>
    <row r="153" ht="15.75" customHeight="1">
      <c r="A153" s="221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  <c r="AB153" s="226"/>
      <c r="AC153" s="226"/>
      <c r="AD153" s="226"/>
      <c r="AE153" s="226"/>
      <c r="AF153" s="226"/>
      <c r="AG153" s="226"/>
      <c r="AH153" s="226"/>
      <c r="AI153" s="226"/>
    </row>
    <row r="154" ht="15.75" customHeight="1">
      <c r="A154" s="221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  <c r="AA154" s="226"/>
      <c r="AB154" s="226"/>
      <c r="AC154" s="226"/>
      <c r="AD154" s="226"/>
      <c r="AE154" s="226"/>
      <c r="AF154" s="226"/>
      <c r="AG154" s="226"/>
      <c r="AH154" s="226"/>
      <c r="AI154" s="226"/>
    </row>
    <row r="155" ht="15.75" customHeight="1">
      <c r="A155" s="221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  <c r="AA155" s="226"/>
      <c r="AB155" s="226"/>
      <c r="AC155" s="226"/>
      <c r="AD155" s="226"/>
      <c r="AE155" s="226"/>
      <c r="AF155" s="226"/>
      <c r="AG155" s="226"/>
      <c r="AH155" s="226"/>
      <c r="AI155" s="226"/>
    </row>
    <row r="156" ht="15.75" customHeight="1">
      <c r="A156" s="221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  <c r="AA156" s="226"/>
      <c r="AB156" s="226"/>
      <c r="AC156" s="226"/>
      <c r="AD156" s="226"/>
      <c r="AE156" s="226"/>
      <c r="AF156" s="226"/>
      <c r="AG156" s="226"/>
      <c r="AH156" s="226"/>
      <c r="AI156" s="226"/>
    </row>
    <row r="157" ht="15.75" customHeight="1">
      <c r="A157" s="221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  <c r="AB157" s="226"/>
      <c r="AC157" s="226"/>
      <c r="AD157" s="226"/>
      <c r="AE157" s="226"/>
      <c r="AF157" s="226"/>
      <c r="AG157" s="226"/>
      <c r="AH157" s="226"/>
      <c r="AI157" s="226"/>
    </row>
    <row r="158" ht="15.75" customHeight="1">
      <c r="A158" s="221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  <c r="AA158" s="226"/>
      <c r="AB158" s="226"/>
      <c r="AC158" s="226"/>
      <c r="AD158" s="226"/>
      <c r="AE158" s="226"/>
      <c r="AF158" s="226"/>
      <c r="AG158" s="226"/>
      <c r="AH158" s="226"/>
      <c r="AI158" s="226"/>
    </row>
    <row r="159" ht="15.75" customHeight="1">
      <c r="A159" s="221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  <c r="AA159" s="226"/>
      <c r="AB159" s="226"/>
      <c r="AC159" s="226"/>
      <c r="AD159" s="226"/>
      <c r="AE159" s="226"/>
      <c r="AF159" s="226"/>
      <c r="AG159" s="226"/>
      <c r="AH159" s="226"/>
      <c r="AI159" s="226"/>
    </row>
    <row r="160" ht="15.75" customHeight="1">
      <c r="A160" s="221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6"/>
      <c r="AG160" s="226"/>
      <c r="AH160" s="226"/>
      <c r="AI160" s="226"/>
    </row>
    <row r="161" ht="15.75" customHeight="1">
      <c r="A161" s="221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6"/>
      <c r="AG161" s="226"/>
      <c r="AH161" s="226"/>
      <c r="AI161" s="226"/>
    </row>
    <row r="162" ht="15.75" customHeight="1">
      <c r="A162" s="221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  <c r="AA162" s="226"/>
      <c r="AB162" s="226"/>
      <c r="AC162" s="226"/>
      <c r="AD162" s="226"/>
      <c r="AE162" s="226"/>
      <c r="AF162" s="226"/>
      <c r="AG162" s="226"/>
      <c r="AH162" s="226"/>
      <c r="AI162" s="226"/>
    </row>
    <row r="163" ht="15.75" customHeight="1">
      <c r="A163" s="221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  <c r="AA163" s="226"/>
      <c r="AB163" s="226"/>
      <c r="AC163" s="226"/>
      <c r="AD163" s="226"/>
      <c r="AE163" s="226"/>
      <c r="AF163" s="226"/>
      <c r="AG163" s="226"/>
      <c r="AH163" s="226"/>
      <c r="AI163" s="226"/>
    </row>
    <row r="164" ht="15.75" customHeight="1">
      <c r="A164" s="221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  <c r="AA164" s="226"/>
      <c r="AB164" s="226"/>
      <c r="AC164" s="226"/>
      <c r="AD164" s="226"/>
      <c r="AE164" s="226"/>
      <c r="AF164" s="226"/>
      <c r="AG164" s="226"/>
      <c r="AH164" s="226"/>
      <c r="AI164" s="226"/>
    </row>
    <row r="165" ht="15.75" customHeight="1">
      <c r="A165" s="221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  <c r="AB165" s="226"/>
      <c r="AC165" s="226"/>
      <c r="AD165" s="226"/>
      <c r="AE165" s="226"/>
      <c r="AF165" s="226"/>
      <c r="AG165" s="226"/>
      <c r="AH165" s="226"/>
      <c r="AI165" s="226"/>
    </row>
    <row r="166" ht="15.75" customHeight="1">
      <c r="A166" s="221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  <c r="AA166" s="226"/>
      <c r="AB166" s="226"/>
      <c r="AC166" s="226"/>
      <c r="AD166" s="226"/>
      <c r="AE166" s="226"/>
      <c r="AF166" s="226"/>
      <c r="AG166" s="226"/>
      <c r="AH166" s="226"/>
      <c r="AI166" s="226"/>
    </row>
    <row r="167" ht="15.75" customHeight="1">
      <c r="A167" s="221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  <c r="AB167" s="226"/>
      <c r="AC167" s="226"/>
      <c r="AD167" s="226"/>
      <c r="AE167" s="226"/>
      <c r="AF167" s="226"/>
      <c r="AG167" s="226"/>
      <c r="AH167" s="226"/>
      <c r="AI167" s="226"/>
    </row>
    <row r="168" ht="15.75" customHeight="1">
      <c r="A168" s="221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  <c r="AA168" s="226"/>
      <c r="AB168" s="226"/>
      <c r="AC168" s="226"/>
      <c r="AD168" s="226"/>
      <c r="AE168" s="226"/>
      <c r="AF168" s="226"/>
      <c r="AG168" s="226"/>
      <c r="AH168" s="226"/>
      <c r="AI168" s="226"/>
    </row>
    <row r="169" ht="15.75" customHeight="1">
      <c r="A169" s="221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  <c r="AB169" s="226"/>
      <c r="AC169" s="226"/>
      <c r="AD169" s="226"/>
      <c r="AE169" s="226"/>
      <c r="AF169" s="226"/>
      <c r="AG169" s="226"/>
      <c r="AH169" s="226"/>
      <c r="AI169" s="226"/>
    </row>
    <row r="170" ht="15.75" customHeight="1">
      <c r="A170" s="221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  <c r="AA170" s="226"/>
      <c r="AB170" s="226"/>
      <c r="AC170" s="226"/>
      <c r="AD170" s="226"/>
      <c r="AE170" s="226"/>
      <c r="AF170" s="226"/>
      <c r="AG170" s="226"/>
      <c r="AH170" s="226"/>
      <c r="AI170" s="226"/>
    </row>
    <row r="171" ht="15.75" customHeight="1">
      <c r="A171" s="221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  <c r="AB171" s="226"/>
      <c r="AC171" s="226"/>
      <c r="AD171" s="226"/>
      <c r="AE171" s="226"/>
      <c r="AF171" s="226"/>
      <c r="AG171" s="226"/>
      <c r="AH171" s="226"/>
      <c r="AI171" s="226"/>
    </row>
    <row r="172" ht="15.75" customHeight="1">
      <c r="A172" s="221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  <c r="AA172" s="226"/>
      <c r="AB172" s="226"/>
      <c r="AC172" s="226"/>
      <c r="AD172" s="226"/>
      <c r="AE172" s="226"/>
      <c r="AF172" s="226"/>
      <c r="AG172" s="226"/>
      <c r="AH172" s="226"/>
      <c r="AI172" s="226"/>
    </row>
    <row r="173" ht="15.75" customHeight="1">
      <c r="A173" s="221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  <c r="AA173" s="226"/>
      <c r="AB173" s="226"/>
      <c r="AC173" s="226"/>
      <c r="AD173" s="226"/>
      <c r="AE173" s="226"/>
      <c r="AF173" s="226"/>
      <c r="AG173" s="226"/>
      <c r="AH173" s="226"/>
      <c r="AI173" s="226"/>
    </row>
    <row r="174" ht="15.75" customHeight="1">
      <c r="A174" s="221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  <c r="AB174" s="226"/>
      <c r="AC174" s="226"/>
      <c r="AD174" s="226"/>
      <c r="AE174" s="226"/>
      <c r="AF174" s="226"/>
      <c r="AG174" s="226"/>
      <c r="AH174" s="226"/>
      <c r="AI174" s="226"/>
    </row>
    <row r="175" ht="15.75" customHeight="1">
      <c r="A175" s="221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  <c r="AB175" s="226"/>
      <c r="AC175" s="226"/>
      <c r="AD175" s="226"/>
      <c r="AE175" s="226"/>
      <c r="AF175" s="226"/>
      <c r="AG175" s="226"/>
      <c r="AH175" s="226"/>
      <c r="AI175" s="226"/>
    </row>
    <row r="176" ht="15.75" customHeight="1">
      <c r="A176" s="221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  <c r="AA176" s="226"/>
      <c r="AB176" s="226"/>
      <c r="AC176" s="226"/>
      <c r="AD176" s="226"/>
      <c r="AE176" s="226"/>
      <c r="AF176" s="226"/>
      <c r="AG176" s="226"/>
      <c r="AH176" s="226"/>
      <c r="AI176" s="226"/>
    </row>
    <row r="177" ht="15.75" customHeight="1">
      <c r="A177" s="221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  <c r="AB177" s="226"/>
      <c r="AC177" s="226"/>
      <c r="AD177" s="226"/>
      <c r="AE177" s="226"/>
      <c r="AF177" s="226"/>
      <c r="AG177" s="226"/>
      <c r="AH177" s="226"/>
      <c r="AI177" s="226"/>
    </row>
    <row r="178" ht="15.75" customHeight="1">
      <c r="A178" s="221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  <c r="AA178" s="226"/>
      <c r="AB178" s="226"/>
      <c r="AC178" s="226"/>
      <c r="AD178" s="226"/>
      <c r="AE178" s="226"/>
      <c r="AF178" s="226"/>
      <c r="AG178" s="226"/>
      <c r="AH178" s="226"/>
      <c r="AI178" s="226"/>
    </row>
    <row r="179" ht="15.75" customHeight="1">
      <c r="A179" s="221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  <c r="AB179" s="226"/>
      <c r="AC179" s="226"/>
      <c r="AD179" s="226"/>
      <c r="AE179" s="226"/>
      <c r="AF179" s="226"/>
      <c r="AG179" s="226"/>
      <c r="AH179" s="226"/>
      <c r="AI179" s="226"/>
    </row>
    <row r="180" ht="15.75" customHeight="1">
      <c r="A180" s="221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  <c r="AA180" s="226"/>
      <c r="AB180" s="226"/>
      <c r="AC180" s="226"/>
      <c r="AD180" s="226"/>
      <c r="AE180" s="226"/>
      <c r="AF180" s="226"/>
      <c r="AG180" s="226"/>
      <c r="AH180" s="226"/>
      <c r="AI180" s="226"/>
    </row>
    <row r="181" ht="15.75" customHeight="1">
      <c r="A181" s="221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  <c r="AG181" s="226"/>
      <c r="AH181" s="226"/>
      <c r="AI181" s="226"/>
    </row>
    <row r="182" ht="15.75" customHeight="1">
      <c r="A182" s="221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  <c r="AB182" s="226"/>
      <c r="AC182" s="226"/>
      <c r="AD182" s="226"/>
      <c r="AE182" s="226"/>
      <c r="AF182" s="226"/>
      <c r="AG182" s="226"/>
      <c r="AH182" s="226"/>
      <c r="AI182" s="226"/>
    </row>
    <row r="183" ht="15.75" customHeight="1">
      <c r="A183" s="221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  <c r="AA183" s="226"/>
      <c r="AB183" s="226"/>
      <c r="AC183" s="226"/>
      <c r="AD183" s="226"/>
      <c r="AE183" s="226"/>
      <c r="AF183" s="226"/>
      <c r="AG183" s="226"/>
      <c r="AH183" s="226"/>
      <c r="AI183" s="226"/>
    </row>
    <row r="184" ht="15.75" customHeight="1">
      <c r="A184" s="221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  <c r="AA184" s="226"/>
      <c r="AB184" s="226"/>
      <c r="AC184" s="226"/>
      <c r="AD184" s="226"/>
      <c r="AE184" s="226"/>
      <c r="AF184" s="226"/>
      <c r="AG184" s="226"/>
      <c r="AH184" s="226"/>
      <c r="AI184" s="226"/>
    </row>
    <row r="185" ht="15.75" customHeight="1">
      <c r="A185" s="221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  <c r="AA185" s="226"/>
      <c r="AB185" s="226"/>
      <c r="AC185" s="226"/>
      <c r="AD185" s="226"/>
      <c r="AE185" s="226"/>
      <c r="AF185" s="226"/>
      <c r="AG185" s="226"/>
      <c r="AH185" s="226"/>
      <c r="AI185" s="226"/>
    </row>
    <row r="186" ht="15.75" customHeight="1">
      <c r="A186" s="221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  <c r="AB186" s="226"/>
      <c r="AC186" s="226"/>
      <c r="AD186" s="226"/>
      <c r="AE186" s="226"/>
      <c r="AF186" s="226"/>
      <c r="AG186" s="226"/>
      <c r="AH186" s="226"/>
      <c r="AI186" s="226"/>
    </row>
    <row r="187" ht="15.75" customHeight="1">
      <c r="A187" s="221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  <c r="AB187" s="226"/>
      <c r="AC187" s="226"/>
      <c r="AD187" s="226"/>
      <c r="AE187" s="226"/>
      <c r="AF187" s="226"/>
      <c r="AG187" s="226"/>
      <c r="AH187" s="226"/>
      <c r="AI187" s="226"/>
    </row>
    <row r="188" ht="15.75" customHeight="1">
      <c r="A188" s="221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  <c r="AA188" s="226"/>
      <c r="AB188" s="226"/>
      <c r="AC188" s="226"/>
      <c r="AD188" s="226"/>
      <c r="AE188" s="226"/>
      <c r="AF188" s="226"/>
      <c r="AG188" s="226"/>
      <c r="AH188" s="226"/>
      <c r="AI188" s="226"/>
    </row>
    <row r="189" ht="15.75" customHeight="1">
      <c r="A189" s="221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  <c r="AB189" s="226"/>
      <c r="AC189" s="226"/>
      <c r="AD189" s="226"/>
      <c r="AE189" s="226"/>
      <c r="AF189" s="226"/>
      <c r="AG189" s="226"/>
      <c r="AH189" s="226"/>
      <c r="AI189" s="226"/>
    </row>
    <row r="190" ht="15.75" customHeight="1">
      <c r="A190" s="221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6"/>
      <c r="AI190" s="226"/>
    </row>
    <row r="191" ht="15.75" customHeight="1">
      <c r="A191" s="221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  <c r="AG191" s="226"/>
      <c r="AH191" s="226"/>
      <c r="AI191" s="226"/>
    </row>
    <row r="192" ht="15.75" customHeight="1">
      <c r="A192" s="221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  <c r="AB192" s="226"/>
      <c r="AC192" s="226"/>
      <c r="AD192" s="226"/>
      <c r="AE192" s="226"/>
      <c r="AF192" s="226"/>
      <c r="AG192" s="226"/>
      <c r="AH192" s="226"/>
      <c r="AI192" s="226"/>
    </row>
    <row r="193" ht="15.75" customHeight="1">
      <c r="A193" s="221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  <c r="AB193" s="226"/>
      <c r="AC193" s="226"/>
      <c r="AD193" s="226"/>
      <c r="AE193" s="226"/>
      <c r="AF193" s="226"/>
      <c r="AG193" s="226"/>
      <c r="AH193" s="226"/>
      <c r="AI193" s="226"/>
    </row>
    <row r="194" ht="15.75" customHeight="1">
      <c r="A194" s="221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  <c r="AB194" s="226"/>
      <c r="AC194" s="226"/>
      <c r="AD194" s="226"/>
      <c r="AE194" s="226"/>
      <c r="AF194" s="226"/>
      <c r="AG194" s="226"/>
      <c r="AH194" s="226"/>
      <c r="AI194" s="226"/>
    </row>
    <row r="195" ht="15.75" customHeight="1">
      <c r="A195" s="221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  <c r="AB195" s="226"/>
      <c r="AC195" s="226"/>
      <c r="AD195" s="226"/>
      <c r="AE195" s="226"/>
      <c r="AF195" s="226"/>
      <c r="AG195" s="226"/>
      <c r="AH195" s="226"/>
      <c r="AI195" s="226"/>
    </row>
    <row r="196" ht="15.75" customHeight="1">
      <c r="A196" s="221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  <c r="AB196" s="226"/>
      <c r="AC196" s="226"/>
      <c r="AD196" s="226"/>
      <c r="AE196" s="226"/>
      <c r="AF196" s="226"/>
      <c r="AG196" s="226"/>
      <c r="AH196" s="226"/>
      <c r="AI196" s="226"/>
    </row>
    <row r="197" ht="15.75" customHeight="1">
      <c r="A197" s="221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  <c r="AB197" s="226"/>
      <c r="AC197" s="226"/>
      <c r="AD197" s="226"/>
      <c r="AE197" s="226"/>
      <c r="AF197" s="226"/>
      <c r="AG197" s="226"/>
      <c r="AH197" s="226"/>
      <c r="AI197" s="226"/>
    </row>
    <row r="198" ht="15.75" customHeight="1">
      <c r="A198" s="221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  <c r="AA198" s="226"/>
      <c r="AB198" s="226"/>
      <c r="AC198" s="226"/>
      <c r="AD198" s="226"/>
      <c r="AE198" s="226"/>
      <c r="AF198" s="226"/>
      <c r="AG198" s="226"/>
      <c r="AH198" s="226"/>
      <c r="AI198" s="226"/>
    </row>
    <row r="199" ht="15.75" customHeight="1">
      <c r="A199" s="221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  <c r="AB199" s="226"/>
      <c r="AC199" s="226"/>
      <c r="AD199" s="226"/>
      <c r="AE199" s="226"/>
      <c r="AF199" s="226"/>
      <c r="AG199" s="226"/>
      <c r="AH199" s="226"/>
      <c r="AI199" s="226"/>
    </row>
    <row r="200" ht="15.75" customHeight="1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</row>
    <row r="201" ht="15.75" customHeight="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</row>
    <row r="202" ht="15.75" customHeight="1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</row>
    <row r="203" ht="15.75" customHeight="1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</row>
    <row r="204" ht="15.75" customHeight="1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</row>
    <row r="205" ht="15.75" customHeight="1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</row>
    <row r="206" ht="15.75" customHeight="1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</row>
    <row r="207" ht="15.75" customHeight="1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</row>
    <row r="208" ht="15.75" customHeight="1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</row>
    <row r="209" ht="15.75" customHeight="1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</row>
    <row r="210" ht="15.75" customHeight="1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</row>
    <row r="211" ht="15.75" customHeight="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</row>
    <row r="212" ht="15.75" customHeight="1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</row>
    <row r="213" ht="15.75" customHeight="1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</row>
    <row r="214" ht="15.75" customHeight="1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</row>
    <row r="215" ht="15.75" customHeight="1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</row>
    <row r="216" ht="15.75" customHeight="1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</row>
    <row r="217" ht="15.75" customHeight="1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</row>
    <row r="218" ht="15.75" customHeight="1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</row>
    <row r="219" ht="15.75" customHeight="1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</row>
    <row r="220" ht="15.75" customHeight="1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</row>
    <row r="221" ht="15.75" customHeight="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</row>
    <row r="222" ht="15.75" customHeight="1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</row>
    <row r="223" ht="15.75" customHeight="1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</row>
    <row r="224" ht="15.75" customHeight="1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</row>
    <row r="225" ht="15.75" customHeight="1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</row>
    <row r="226" ht="15.75" customHeight="1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</row>
    <row r="227" ht="15.75" customHeight="1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</row>
    <row r="228" ht="15.75" customHeight="1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</row>
    <row r="229" ht="15.75" customHeight="1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</row>
    <row r="230" ht="15.75" customHeight="1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</row>
    <row r="231" ht="15.75" customHeight="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</row>
    <row r="232" ht="15.75" customHeight="1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</row>
    <row r="233" ht="15.75" customHeight="1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</row>
    <row r="234" ht="15.75" customHeight="1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</row>
    <row r="235" ht="15.75" customHeight="1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</row>
    <row r="236" ht="15.75" customHeight="1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</row>
    <row r="237" ht="15.75" customHeight="1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</row>
    <row r="238" ht="15.75" customHeight="1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</row>
    <row r="239" ht="15.75" customHeight="1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</row>
    <row r="240" ht="15.75" customHeight="1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</row>
    <row r="241" ht="15.75" customHeight="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</row>
    <row r="242" ht="15.75" customHeight="1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</row>
    <row r="243" ht="15.75" customHeight="1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</row>
    <row r="244" ht="15.75" customHeight="1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</row>
    <row r="245" ht="15.75" customHeight="1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</row>
    <row r="246" ht="15.75" customHeight="1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</row>
    <row r="247" ht="15.75" customHeight="1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</row>
    <row r="248" ht="15.75" customHeight="1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</row>
    <row r="249" ht="15.75" customHeight="1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</row>
    <row r="250" ht="15.75" customHeight="1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</row>
    <row r="251" ht="15.75" customHeight="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</row>
    <row r="252" ht="15.75" customHeight="1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</row>
    <row r="253" ht="15.75" customHeight="1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</row>
    <row r="254" ht="15.75" customHeight="1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</row>
    <row r="255" ht="15.75" customHeight="1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</row>
    <row r="256" ht="15.75" customHeight="1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</row>
    <row r="257" ht="15.75" customHeight="1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</row>
    <row r="258" ht="15.75" customHeight="1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</row>
    <row r="259" ht="15.75" customHeight="1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</row>
    <row r="260" ht="15.75" customHeight="1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</row>
    <row r="261" ht="15.75" customHeight="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</row>
    <row r="262" ht="15.75" customHeight="1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</row>
    <row r="263" ht="15.75" customHeight="1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</row>
    <row r="264" ht="15.75" customHeight="1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</row>
    <row r="265" ht="15.75" customHeight="1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</row>
    <row r="266" ht="15.75" customHeight="1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</row>
    <row r="267" ht="15.75" customHeight="1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</row>
    <row r="268" ht="15.75" customHeight="1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</row>
    <row r="269" ht="15.75" customHeight="1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</row>
    <row r="270" ht="15.75" customHeight="1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</row>
    <row r="271" ht="15.75" customHeight="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</row>
    <row r="272" ht="15.75" customHeight="1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</row>
    <row r="273" ht="15.75" customHeight="1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</row>
    <row r="274" ht="15.75" customHeight="1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</row>
    <row r="275" ht="15.75" customHeight="1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</row>
    <row r="276" ht="15.75" customHeight="1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</row>
    <row r="277" ht="15.75" customHeight="1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</row>
    <row r="278" ht="15.75" customHeight="1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</row>
    <row r="279" ht="15.75" customHeight="1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</row>
    <row r="280" ht="15.75" customHeight="1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</row>
    <row r="281" ht="15.75" customHeight="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</row>
    <row r="282" ht="15.75" customHeight="1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</row>
    <row r="283" ht="15.75" customHeight="1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</row>
    <row r="284" ht="15.75" customHeight="1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</row>
    <row r="285" ht="15.75" customHeight="1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</row>
    <row r="286" ht="15.75" customHeight="1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</row>
    <row r="287" ht="15.75" customHeight="1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</row>
    <row r="288" ht="15.75" customHeight="1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</row>
    <row r="289" ht="15.75" customHeight="1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</row>
    <row r="290" ht="15.75" customHeight="1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</row>
    <row r="291" ht="15.75" customHeight="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</row>
    <row r="292" ht="15.75" customHeight="1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</row>
    <row r="293" ht="15.75" customHeight="1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</row>
    <row r="294" ht="15.75" customHeight="1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</row>
    <row r="295" ht="15.75" customHeight="1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</row>
    <row r="296" ht="15.75" customHeight="1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</row>
    <row r="297" ht="15.75" customHeight="1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</row>
    <row r="298" ht="15.75" customHeight="1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</row>
    <row r="299" ht="15.75" customHeight="1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</row>
    <row r="300" ht="15.75" customHeight="1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</row>
    <row r="301" ht="15.75" customHeight="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</row>
    <row r="302" ht="15.75" customHeight="1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</row>
    <row r="303" ht="15.75" customHeight="1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</row>
    <row r="304" ht="15.75" customHeight="1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</row>
    <row r="305" ht="15.75" customHeight="1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</row>
    <row r="306" ht="15.75" customHeight="1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</row>
    <row r="307" ht="15.75" customHeight="1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</row>
    <row r="308" ht="15.75" customHeight="1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</row>
    <row r="309" ht="15.75" customHeight="1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</row>
    <row r="310" ht="15.75" customHeight="1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</row>
    <row r="311" ht="15.75" customHeight="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</row>
    <row r="312" ht="15.75" customHeight="1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</row>
    <row r="313" ht="15.75" customHeight="1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</row>
    <row r="314" ht="15.75" customHeight="1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</row>
    <row r="315" ht="15.75" customHeight="1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</row>
    <row r="316" ht="15.75" customHeight="1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</row>
    <row r="317" ht="15.75" customHeight="1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</row>
    <row r="318" ht="15.75" customHeight="1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</row>
    <row r="319" ht="15.75" customHeight="1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</row>
    <row r="320" ht="15.75" customHeight="1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</row>
    <row r="321" ht="15.75" customHeight="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</row>
    <row r="322" ht="15.75" customHeight="1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</row>
    <row r="323" ht="15.75" customHeight="1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</row>
    <row r="324" ht="15.75" customHeight="1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</row>
    <row r="325" ht="15.75" customHeight="1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</row>
    <row r="326" ht="15.75" customHeight="1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</row>
    <row r="327" ht="15.75" customHeight="1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</row>
    <row r="328" ht="15.75" customHeight="1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</row>
    <row r="329" ht="15.75" customHeight="1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</row>
    <row r="330" ht="15.75" customHeight="1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</row>
    <row r="331" ht="15.75" customHeight="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</row>
    <row r="332" ht="15.75" customHeight="1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</row>
    <row r="333" ht="15.75" customHeight="1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</row>
    <row r="334" ht="15.75" customHeight="1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</row>
    <row r="335" ht="15.75" customHeight="1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</row>
    <row r="336" ht="15.75" customHeight="1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</row>
    <row r="337" ht="15.75" customHeight="1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</row>
    <row r="338" ht="15.75" customHeight="1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</row>
    <row r="339" ht="15.75" customHeight="1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</row>
    <row r="340" ht="15.75" customHeight="1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</row>
    <row r="341" ht="15.75" customHeight="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</row>
    <row r="342" ht="15.75" customHeight="1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</row>
    <row r="343" ht="15.75" customHeight="1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</row>
    <row r="344" ht="15.75" customHeight="1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</row>
    <row r="345" ht="15.75" customHeight="1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</row>
    <row r="346" ht="15.75" customHeight="1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</row>
    <row r="347" ht="15.75" customHeight="1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</row>
    <row r="348" ht="15.75" customHeight="1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</row>
    <row r="349" ht="15.75" customHeight="1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</row>
    <row r="350" ht="15.75" customHeight="1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</row>
    <row r="351" ht="15.75" customHeight="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</row>
    <row r="352" ht="15.75" customHeight="1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</row>
    <row r="353" ht="15.75" customHeight="1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</row>
    <row r="354" ht="15.75" customHeight="1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</row>
    <row r="355" ht="15.75" customHeight="1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</row>
    <row r="356" ht="15.75" customHeight="1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</row>
    <row r="357" ht="15.75" customHeight="1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</row>
    <row r="358" ht="15.75" customHeight="1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</row>
    <row r="359" ht="15.75" customHeight="1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  <c r="AB359" s="221"/>
      <c r="AC359" s="221"/>
      <c r="AD359" s="221"/>
      <c r="AE359" s="221"/>
      <c r="AF359" s="221"/>
      <c r="AG359" s="221"/>
      <c r="AH359" s="221"/>
      <c r="AI359" s="221"/>
    </row>
    <row r="360" ht="15.75" customHeight="1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</row>
    <row r="361" ht="15.75" customHeight="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</row>
    <row r="362" ht="15.75" customHeight="1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</row>
    <row r="363" ht="15.75" customHeight="1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</row>
    <row r="364" ht="15.75" customHeight="1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</row>
    <row r="365" ht="15.75" customHeight="1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</row>
    <row r="366" ht="15.75" customHeight="1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</row>
    <row r="367" ht="15.75" customHeight="1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</row>
    <row r="368" ht="15.75" customHeight="1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</row>
    <row r="369" ht="15.75" customHeight="1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</row>
    <row r="370" ht="15.75" customHeight="1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</row>
    <row r="371" ht="15.75" customHeight="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</row>
    <row r="372" ht="15.75" customHeight="1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</row>
    <row r="373" ht="15.75" customHeight="1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</row>
    <row r="374" ht="15.75" customHeight="1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</row>
    <row r="375" ht="15.75" customHeight="1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</row>
    <row r="376" ht="15.75" customHeight="1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</row>
    <row r="377" ht="15.75" customHeight="1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</row>
    <row r="378" ht="15.75" customHeight="1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</row>
    <row r="379" ht="15.75" customHeight="1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</row>
    <row r="380" ht="15.75" customHeight="1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</row>
    <row r="381" ht="15.75" customHeight="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</row>
    <row r="382" ht="15.75" customHeight="1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</row>
    <row r="383" ht="15.75" customHeight="1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</row>
    <row r="384" ht="15.75" customHeight="1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</row>
    <row r="385" ht="15.75" customHeight="1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</row>
    <row r="386" ht="15.75" customHeight="1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</row>
    <row r="387" ht="15.75" customHeight="1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</row>
    <row r="388" ht="15.75" customHeight="1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  <c r="AB388" s="221"/>
      <c r="AC388" s="221"/>
      <c r="AD388" s="221"/>
      <c r="AE388" s="221"/>
      <c r="AF388" s="221"/>
      <c r="AG388" s="221"/>
      <c r="AH388" s="221"/>
      <c r="AI388" s="221"/>
    </row>
    <row r="389" ht="15.75" customHeight="1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  <c r="AB389" s="221"/>
      <c r="AC389" s="221"/>
      <c r="AD389" s="221"/>
      <c r="AE389" s="221"/>
      <c r="AF389" s="221"/>
      <c r="AG389" s="221"/>
      <c r="AH389" s="221"/>
      <c r="AI389" s="221"/>
    </row>
    <row r="390" ht="15.75" customHeight="1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  <c r="AB390" s="221"/>
      <c r="AC390" s="221"/>
      <c r="AD390" s="221"/>
      <c r="AE390" s="221"/>
      <c r="AF390" s="221"/>
      <c r="AG390" s="221"/>
      <c r="AH390" s="221"/>
      <c r="AI390" s="221"/>
    </row>
    <row r="391" ht="15.75" customHeight="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  <c r="AB391" s="221"/>
      <c r="AC391" s="221"/>
      <c r="AD391" s="221"/>
      <c r="AE391" s="221"/>
      <c r="AF391" s="221"/>
      <c r="AG391" s="221"/>
      <c r="AH391" s="221"/>
      <c r="AI391" s="221"/>
    </row>
    <row r="392" ht="15.75" customHeight="1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  <c r="AB392" s="221"/>
      <c r="AC392" s="221"/>
      <c r="AD392" s="221"/>
      <c r="AE392" s="221"/>
      <c r="AF392" s="221"/>
      <c r="AG392" s="221"/>
      <c r="AH392" s="221"/>
      <c r="AI392" s="221"/>
    </row>
    <row r="393" ht="15.75" customHeight="1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  <c r="AB393" s="221"/>
      <c r="AC393" s="221"/>
      <c r="AD393" s="221"/>
      <c r="AE393" s="221"/>
      <c r="AF393" s="221"/>
      <c r="AG393" s="221"/>
      <c r="AH393" s="221"/>
      <c r="AI393" s="221"/>
    </row>
    <row r="394" ht="15.75" customHeight="1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</row>
    <row r="395" ht="15.75" customHeight="1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  <c r="AB395" s="221"/>
      <c r="AC395" s="221"/>
      <c r="AD395" s="221"/>
      <c r="AE395" s="221"/>
      <c r="AF395" s="221"/>
      <c r="AG395" s="221"/>
      <c r="AH395" s="221"/>
      <c r="AI395" s="221"/>
    </row>
    <row r="396" ht="15.75" customHeight="1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</row>
    <row r="397" ht="15.75" customHeight="1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  <c r="AB397" s="221"/>
      <c r="AC397" s="221"/>
      <c r="AD397" s="221"/>
      <c r="AE397" s="221"/>
      <c r="AF397" s="221"/>
      <c r="AG397" s="221"/>
      <c r="AH397" s="221"/>
      <c r="AI397" s="221"/>
    </row>
    <row r="398" ht="15.75" customHeight="1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  <c r="AB398" s="221"/>
      <c r="AC398" s="221"/>
      <c r="AD398" s="221"/>
      <c r="AE398" s="221"/>
      <c r="AF398" s="221"/>
      <c r="AG398" s="221"/>
      <c r="AH398" s="221"/>
      <c r="AI398" s="221"/>
    </row>
    <row r="399" ht="15.75" customHeight="1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  <c r="AB399" s="221"/>
      <c r="AC399" s="221"/>
      <c r="AD399" s="221"/>
      <c r="AE399" s="221"/>
      <c r="AF399" s="221"/>
      <c r="AG399" s="221"/>
      <c r="AH399" s="221"/>
      <c r="AI399" s="221"/>
    </row>
    <row r="400" ht="15.75" customHeight="1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</row>
    <row r="401" ht="15.75" customHeight="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  <c r="AB401" s="221"/>
      <c r="AC401" s="221"/>
      <c r="AD401" s="221"/>
      <c r="AE401" s="221"/>
      <c r="AF401" s="221"/>
      <c r="AG401" s="221"/>
      <c r="AH401" s="221"/>
      <c r="AI401" s="221"/>
    </row>
    <row r="402" ht="15.75" customHeight="1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  <c r="AB402" s="221"/>
      <c r="AC402" s="221"/>
      <c r="AD402" s="221"/>
      <c r="AE402" s="221"/>
      <c r="AF402" s="221"/>
      <c r="AG402" s="221"/>
      <c r="AH402" s="221"/>
      <c r="AI402" s="221"/>
    </row>
    <row r="403" ht="15.75" customHeight="1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  <c r="AB403" s="221"/>
      <c r="AC403" s="221"/>
      <c r="AD403" s="221"/>
      <c r="AE403" s="221"/>
      <c r="AF403" s="221"/>
      <c r="AG403" s="221"/>
      <c r="AH403" s="221"/>
      <c r="AI403" s="221"/>
    </row>
    <row r="404" ht="15.75" customHeight="1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  <c r="AB404" s="221"/>
      <c r="AC404" s="221"/>
      <c r="AD404" s="221"/>
      <c r="AE404" s="221"/>
      <c r="AF404" s="221"/>
      <c r="AG404" s="221"/>
      <c r="AH404" s="221"/>
      <c r="AI404" s="221"/>
    </row>
    <row r="405" ht="15.75" customHeight="1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  <c r="AB405" s="221"/>
      <c r="AC405" s="221"/>
      <c r="AD405" s="221"/>
      <c r="AE405" s="221"/>
      <c r="AF405" s="221"/>
      <c r="AG405" s="221"/>
      <c r="AH405" s="221"/>
      <c r="AI405" s="221"/>
    </row>
    <row r="406" ht="15.75" customHeight="1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221"/>
      <c r="AH406" s="221"/>
      <c r="AI406" s="221"/>
    </row>
    <row r="407" ht="15.75" customHeight="1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  <c r="AB407" s="221"/>
      <c r="AC407" s="221"/>
      <c r="AD407" s="221"/>
      <c r="AE407" s="221"/>
      <c r="AF407" s="221"/>
      <c r="AG407" s="221"/>
      <c r="AH407" s="221"/>
      <c r="AI407" s="221"/>
    </row>
    <row r="408" ht="15.75" customHeight="1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  <c r="AB408" s="221"/>
      <c r="AC408" s="221"/>
      <c r="AD408" s="221"/>
      <c r="AE408" s="221"/>
      <c r="AF408" s="221"/>
      <c r="AG408" s="221"/>
      <c r="AH408" s="221"/>
      <c r="AI408" s="221"/>
    </row>
    <row r="409" ht="15.75" customHeight="1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  <c r="AB409" s="221"/>
      <c r="AC409" s="221"/>
      <c r="AD409" s="221"/>
      <c r="AE409" s="221"/>
      <c r="AF409" s="221"/>
      <c r="AG409" s="221"/>
      <c r="AH409" s="221"/>
      <c r="AI409" s="221"/>
    </row>
    <row r="410" ht="15.75" customHeight="1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  <c r="AB410" s="221"/>
      <c r="AC410" s="221"/>
      <c r="AD410" s="221"/>
      <c r="AE410" s="221"/>
      <c r="AF410" s="221"/>
      <c r="AG410" s="221"/>
      <c r="AH410" s="221"/>
      <c r="AI410" s="221"/>
    </row>
    <row r="411" ht="15.75" customHeight="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  <c r="AB411" s="221"/>
      <c r="AC411" s="221"/>
      <c r="AD411" s="221"/>
      <c r="AE411" s="221"/>
      <c r="AF411" s="221"/>
      <c r="AG411" s="221"/>
      <c r="AH411" s="221"/>
      <c r="AI411" s="221"/>
    </row>
    <row r="412" ht="15.75" customHeight="1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  <c r="AB412" s="221"/>
      <c r="AC412" s="221"/>
      <c r="AD412" s="221"/>
      <c r="AE412" s="221"/>
      <c r="AF412" s="221"/>
      <c r="AG412" s="221"/>
      <c r="AH412" s="221"/>
      <c r="AI412" s="221"/>
    </row>
    <row r="413" ht="15.75" customHeight="1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  <c r="AB413" s="221"/>
      <c r="AC413" s="221"/>
      <c r="AD413" s="221"/>
      <c r="AE413" s="221"/>
      <c r="AF413" s="221"/>
      <c r="AG413" s="221"/>
      <c r="AH413" s="221"/>
      <c r="AI413" s="221"/>
    </row>
    <row r="414" ht="15.75" customHeight="1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  <c r="AB414" s="221"/>
      <c r="AC414" s="221"/>
      <c r="AD414" s="221"/>
      <c r="AE414" s="221"/>
      <c r="AF414" s="221"/>
      <c r="AG414" s="221"/>
      <c r="AH414" s="221"/>
      <c r="AI414" s="221"/>
    </row>
    <row r="415" ht="15.75" customHeight="1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  <c r="AB415" s="221"/>
      <c r="AC415" s="221"/>
      <c r="AD415" s="221"/>
      <c r="AE415" s="221"/>
      <c r="AF415" s="221"/>
      <c r="AG415" s="221"/>
      <c r="AH415" s="221"/>
      <c r="AI415" s="221"/>
    </row>
    <row r="416" ht="15.75" customHeight="1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  <c r="AB416" s="221"/>
      <c r="AC416" s="221"/>
      <c r="AD416" s="221"/>
      <c r="AE416" s="221"/>
      <c r="AF416" s="221"/>
      <c r="AG416" s="221"/>
      <c r="AH416" s="221"/>
      <c r="AI416" s="221"/>
    </row>
    <row r="417" ht="15.75" customHeight="1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1"/>
      <c r="AG417" s="221"/>
      <c r="AH417" s="221"/>
      <c r="AI417" s="221"/>
    </row>
    <row r="418" ht="15.75" customHeight="1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  <c r="AB418" s="221"/>
      <c r="AC418" s="221"/>
      <c r="AD418" s="221"/>
      <c r="AE418" s="221"/>
      <c r="AF418" s="221"/>
      <c r="AG418" s="221"/>
      <c r="AH418" s="221"/>
      <c r="AI418" s="221"/>
    </row>
    <row r="419" ht="15.75" customHeight="1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  <c r="AB419" s="221"/>
      <c r="AC419" s="221"/>
      <c r="AD419" s="221"/>
      <c r="AE419" s="221"/>
      <c r="AF419" s="221"/>
      <c r="AG419" s="221"/>
      <c r="AH419" s="221"/>
      <c r="AI419" s="221"/>
    </row>
    <row r="420" ht="15.75" customHeight="1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  <c r="AB420" s="221"/>
      <c r="AC420" s="221"/>
      <c r="AD420" s="221"/>
      <c r="AE420" s="221"/>
      <c r="AF420" s="221"/>
      <c r="AG420" s="221"/>
      <c r="AH420" s="221"/>
      <c r="AI420" s="221"/>
    </row>
    <row r="421" ht="15.75" customHeight="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  <c r="AB421" s="221"/>
      <c r="AC421" s="221"/>
      <c r="AD421" s="221"/>
      <c r="AE421" s="221"/>
      <c r="AF421" s="221"/>
      <c r="AG421" s="221"/>
      <c r="AH421" s="221"/>
      <c r="AI421" s="221"/>
    </row>
    <row r="422" ht="15.75" customHeight="1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  <c r="AB422" s="221"/>
      <c r="AC422" s="221"/>
      <c r="AD422" s="221"/>
      <c r="AE422" s="221"/>
      <c r="AF422" s="221"/>
      <c r="AG422" s="221"/>
      <c r="AH422" s="221"/>
      <c r="AI422" s="221"/>
    </row>
    <row r="423" ht="15.75" customHeight="1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  <c r="AB423" s="221"/>
      <c r="AC423" s="221"/>
      <c r="AD423" s="221"/>
      <c r="AE423" s="221"/>
      <c r="AF423" s="221"/>
      <c r="AG423" s="221"/>
      <c r="AH423" s="221"/>
      <c r="AI423" s="221"/>
    </row>
    <row r="424" ht="15.75" customHeight="1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  <c r="AB424" s="221"/>
      <c r="AC424" s="221"/>
      <c r="AD424" s="221"/>
      <c r="AE424" s="221"/>
      <c r="AF424" s="221"/>
      <c r="AG424" s="221"/>
      <c r="AH424" s="221"/>
      <c r="AI424" s="221"/>
    </row>
    <row r="425" ht="15.75" customHeight="1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  <c r="AB425" s="221"/>
      <c r="AC425" s="221"/>
      <c r="AD425" s="221"/>
      <c r="AE425" s="221"/>
      <c r="AF425" s="221"/>
      <c r="AG425" s="221"/>
      <c r="AH425" s="221"/>
      <c r="AI425" s="221"/>
    </row>
    <row r="426" ht="15.75" customHeight="1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  <c r="AB426" s="221"/>
      <c r="AC426" s="221"/>
      <c r="AD426" s="221"/>
      <c r="AE426" s="221"/>
      <c r="AF426" s="221"/>
      <c r="AG426" s="221"/>
      <c r="AH426" s="221"/>
      <c r="AI426" s="221"/>
    </row>
    <row r="427" ht="15.75" customHeight="1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  <c r="AB427" s="221"/>
      <c r="AC427" s="221"/>
      <c r="AD427" s="221"/>
      <c r="AE427" s="221"/>
      <c r="AF427" s="221"/>
      <c r="AG427" s="221"/>
      <c r="AH427" s="221"/>
      <c r="AI427" s="221"/>
    </row>
    <row r="428" ht="15.75" customHeight="1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  <c r="AB428" s="221"/>
      <c r="AC428" s="221"/>
      <c r="AD428" s="221"/>
      <c r="AE428" s="221"/>
      <c r="AF428" s="221"/>
      <c r="AG428" s="221"/>
      <c r="AH428" s="221"/>
      <c r="AI428" s="221"/>
    </row>
    <row r="429" ht="15.75" customHeight="1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  <c r="AB429" s="221"/>
      <c r="AC429" s="221"/>
      <c r="AD429" s="221"/>
      <c r="AE429" s="221"/>
      <c r="AF429" s="221"/>
      <c r="AG429" s="221"/>
      <c r="AH429" s="221"/>
      <c r="AI429" s="221"/>
    </row>
    <row r="430" ht="15.75" customHeight="1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  <c r="AB430" s="221"/>
      <c r="AC430" s="221"/>
      <c r="AD430" s="221"/>
      <c r="AE430" s="221"/>
      <c r="AF430" s="221"/>
      <c r="AG430" s="221"/>
      <c r="AH430" s="221"/>
      <c r="AI430" s="221"/>
    </row>
    <row r="431" ht="15.75" customHeight="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  <c r="AB431" s="221"/>
      <c r="AC431" s="221"/>
      <c r="AD431" s="221"/>
      <c r="AE431" s="221"/>
      <c r="AF431" s="221"/>
      <c r="AG431" s="221"/>
      <c r="AH431" s="221"/>
      <c r="AI431" s="221"/>
    </row>
    <row r="432" ht="15.75" customHeight="1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  <c r="AB432" s="221"/>
      <c r="AC432" s="221"/>
      <c r="AD432" s="221"/>
      <c r="AE432" s="221"/>
      <c r="AF432" s="221"/>
      <c r="AG432" s="221"/>
      <c r="AH432" s="221"/>
      <c r="AI432" s="221"/>
    </row>
    <row r="433" ht="15.75" customHeight="1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  <c r="AB433" s="221"/>
      <c r="AC433" s="221"/>
      <c r="AD433" s="221"/>
      <c r="AE433" s="221"/>
      <c r="AF433" s="221"/>
      <c r="AG433" s="221"/>
      <c r="AH433" s="221"/>
      <c r="AI433" s="221"/>
    </row>
    <row r="434" ht="15.75" customHeight="1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  <c r="AB434" s="221"/>
      <c r="AC434" s="221"/>
      <c r="AD434" s="221"/>
      <c r="AE434" s="221"/>
      <c r="AF434" s="221"/>
      <c r="AG434" s="221"/>
      <c r="AH434" s="221"/>
      <c r="AI434" s="221"/>
    </row>
    <row r="435" ht="15.75" customHeight="1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  <c r="AB435" s="221"/>
      <c r="AC435" s="221"/>
      <c r="AD435" s="221"/>
      <c r="AE435" s="221"/>
      <c r="AF435" s="221"/>
      <c r="AG435" s="221"/>
      <c r="AH435" s="221"/>
      <c r="AI435" s="221"/>
    </row>
    <row r="436" ht="15.75" customHeight="1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  <c r="AB436" s="221"/>
      <c r="AC436" s="221"/>
      <c r="AD436" s="221"/>
      <c r="AE436" s="221"/>
      <c r="AF436" s="221"/>
      <c r="AG436" s="221"/>
      <c r="AH436" s="221"/>
      <c r="AI436" s="221"/>
    </row>
    <row r="437" ht="15.75" customHeight="1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  <c r="AB437" s="221"/>
      <c r="AC437" s="221"/>
      <c r="AD437" s="221"/>
      <c r="AE437" s="221"/>
      <c r="AF437" s="221"/>
      <c r="AG437" s="221"/>
      <c r="AH437" s="221"/>
      <c r="AI437" s="221"/>
    </row>
    <row r="438" ht="15.75" customHeight="1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  <c r="AB438" s="221"/>
      <c r="AC438" s="221"/>
      <c r="AD438" s="221"/>
      <c r="AE438" s="221"/>
      <c r="AF438" s="221"/>
      <c r="AG438" s="221"/>
      <c r="AH438" s="221"/>
      <c r="AI438" s="221"/>
    </row>
    <row r="439" ht="15.75" customHeight="1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  <c r="AB439" s="221"/>
      <c r="AC439" s="221"/>
      <c r="AD439" s="221"/>
      <c r="AE439" s="221"/>
      <c r="AF439" s="221"/>
      <c r="AG439" s="221"/>
      <c r="AH439" s="221"/>
      <c r="AI439" s="221"/>
    </row>
    <row r="440" ht="15.75" customHeight="1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  <c r="AB440" s="221"/>
      <c r="AC440" s="221"/>
      <c r="AD440" s="221"/>
      <c r="AE440" s="221"/>
      <c r="AF440" s="221"/>
      <c r="AG440" s="221"/>
      <c r="AH440" s="221"/>
      <c r="AI440" s="221"/>
    </row>
    <row r="441" ht="15.75" customHeight="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  <c r="AB441" s="221"/>
      <c r="AC441" s="221"/>
      <c r="AD441" s="221"/>
      <c r="AE441" s="221"/>
      <c r="AF441" s="221"/>
      <c r="AG441" s="221"/>
      <c r="AH441" s="221"/>
      <c r="AI441" s="221"/>
    </row>
    <row r="442" ht="15.75" customHeight="1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  <c r="AB442" s="221"/>
      <c r="AC442" s="221"/>
      <c r="AD442" s="221"/>
      <c r="AE442" s="221"/>
      <c r="AF442" s="221"/>
      <c r="AG442" s="221"/>
      <c r="AH442" s="221"/>
      <c r="AI442" s="221"/>
    </row>
    <row r="443" ht="15.75" customHeight="1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  <c r="AB443" s="221"/>
      <c r="AC443" s="221"/>
      <c r="AD443" s="221"/>
      <c r="AE443" s="221"/>
      <c r="AF443" s="221"/>
      <c r="AG443" s="221"/>
      <c r="AH443" s="221"/>
      <c r="AI443" s="221"/>
    </row>
    <row r="444" ht="15.75" customHeight="1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  <c r="AB444" s="221"/>
      <c r="AC444" s="221"/>
      <c r="AD444" s="221"/>
      <c r="AE444" s="221"/>
      <c r="AF444" s="221"/>
      <c r="AG444" s="221"/>
      <c r="AH444" s="221"/>
      <c r="AI444" s="221"/>
    </row>
    <row r="445" ht="15.75" customHeight="1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  <c r="AB445" s="221"/>
      <c r="AC445" s="221"/>
      <c r="AD445" s="221"/>
      <c r="AE445" s="221"/>
      <c r="AF445" s="221"/>
      <c r="AG445" s="221"/>
      <c r="AH445" s="221"/>
      <c r="AI445" s="221"/>
    </row>
    <row r="446" ht="15.75" customHeight="1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  <c r="AB446" s="221"/>
      <c r="AC446" s="221"/>
      <c r="AD446" s="221"/>
      <c r="AE446" s="221"/>
      <c r="AF446" s="221"/>
      <c r="AG446" s="221"/>
      <c r="AH446" s="221"/>
      <c r="AI446" s="221"/>
    </row>
    <row r="447" ht="15.75" customHeight="1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  <c r="AB447" s="221"/>
      <c r="AC447" s="221"/>
      <c r="AD447" s="221"/>
      <c r="AE447" s="221"/>
      <c r="AF447" s="221"/>
      <c r="AG447" s="221"/>
      <c r="AH447" s="221"/>
      <c r="AI447" s="221"/>
    </row>
    <row r="448" ht="15.75" customHeight="1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  <c r="AB448" s="221"/>
      <c r="AC448" s="221"/>
      <c r="AD448" s="221"/>
      <c r="AE448" s="221"/>
      <c r="AF448" s="221"/>
      <c r="AG448" s="221"/>
      <c r="AH448" s="221"/>
      <c r="AI448" s="221"/>
    </row>
    <row r="449" ht="15.75" customHeight="1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  <c r="AB449" s="221"/>
      <c r="AC449" s="221"/>
      <c r="AD449" s="221"/>
      <c r="AE449" s="221"/>
      <c r="AF449" s="221"/>
      <c r="AG449" s="221"/>
      <c r="AH449" s="221"/>
      <c r="AI449" s="221"/>
    </row>
    <row r="450" ht="15.75" customHeight="1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  <c r="AB450" s="221"/>
      <c r="AC450" s="221"/>
      <c r="AD450" s="221"/>
      <c r="AE450" s="221"/>
      <c r="AF450" s="221"/>
      <c r="AG450" s="221"/>
      <c r="AH450" s="221"/>
      <c r="AI450" s="221"/>
    </row>
    <row r="451" ht="15.75" customHeight="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  <c r="AB451" s="221"/>
      <c r="AC451" s="221"/>
      <c r="AD451" s="221"/>
      <c r="AE451" s="221"/>
      <c r="AF451" s="221"/>
      <c r="AG451" s="221"/>
      <c r="AH451" s="221"/>
      <c r="AI451" s="221"/>
    </row>
    <row r="452" ht="15.75" customHeight="1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  <c r="AB452" s="221"/>
      <c r="AC452" s="221"/>
      <c r="AD452" s="221"/>
      <c r="AE452" s="221"/>
      <c r="AF452" s="221"/>
      <c r="AG452" s="221"/>
      <c r="AH452" s="221"/>
      <c r="AI452" s="221"/>
    </row>
    <row r="453" ht="15.75" customHeight="1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  <c r="AB453" s="221"/>
      <c r="AC453" s="221"/>
      <c r="AD453" s="221"/>
      <c r="AE453" s="221"/>
      <c r="AF453" s="221"/>
      <c r="AG453" s="221"/>
      <c r="AH453" s="221"/>
      <c r="AI453" s="221"/>
    </row>
    <row r="454" ht="15.75" customHeight="1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  <c r="AB454" s="221"/>
      <c r="AC454" s="221"/>
      <c r="AD454" s="221"/>
      <c r="AE454" s="221"/>
      <c r="AF454" s="221"/>
      <c r="AG454" s="221"/>
      <c r="AH454" s="221"/>
      <c r="AI454" s="221"/>
    </row>
    <row r="455" ht="15.75" customHeight="1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  <c r="AB455" s="221"/>
      <c r="AC455" s="221"/>
      <c r="AD455" s="221"/>
      <c r="AE455" s="221"/>
      <c r="AF455" s="221"/>
      <c r="AG455" s="221"/>
      <c r="AH455" s="221"/>
      <c r="AI455" s="221"/>
    </row>
    <row r="456" ht="15.75" customHeight="1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  <c r="AB456" s="221"/>
      <c r="AC456" s="221"/>
      <c r="AD456" s="221"/>
      <c r="AE456" s="221"/>
      <c r="AF456" s="221"/>
      <c r="AG456" s="221"/>
      <c r="AH456" s="221"/>
      <c r="AI456" s="221"/>
    </row>
    <row r="457" ht="15.75" customHeight="1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  <c r="AB457" s="221"/>
      <c r="AC457" s="221"/>
      <c r="AD457" s="221"/>
      <c r="AE457" s="221"/>
      <c r="AF457" s="221"/>
      <c r="AG457" s="221"/>
      <c r="AH457" s="221"/>
      <c r="AI457" s="221"/>
    </row>
    <row r="458" ht="15.75" customHeight="1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  <c r="AB458" s="221"/>
      <c r="AC458" s="221"/>
      <c r="AD458" s="221"/>
      <c r="AE458" s="221"/>
      <c r="AF458" s="221"/>
      <c r="AG458" s="221"/>
      <c r="AH458" s="221"/>
      <c r="AI458" s="221"/>
    </row>
    <row r="459" ht="15.75" customHeight="1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  <c r="AB459" s="221"/>
      <c r="AC459" s="221"/>
      <c r="AD459" s="221"/>
      <c r="AE459" s="221"/>
      <c r="AF459" s="221"/>
      <c r="AG459" s="221"/>
      <c r="AH459" s="221"/>
      <c r="AI459" s="221"/>
    </row>
    <row r="460" ht="15.75" customHeight="1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  <c r="AB460" s="221"/>
      <c r="AC460" s="221"/>
      <c r="AD460" s="221"/>
      <c r="AE460" s="221"/>
      <c r="AF460" s="221"/>
      <c r="AG460" s="221"/>
      <c r="AH460" s="221"/>
      <c r="AI460" s="221"/>
    </row>
    <row r="461" ht="15.75" customHeight="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  <c r="AB461" s="221"/>
      <c r="AC461" s="221"/>
      <c r="AD461" s="221"/>
      <c r="AE461" s="221"/>
      <c r="AF461" s="221"/>
      <c r="AG461" s="221"/>
      <c r="AH461" s="221"/>
      <c r="AI461" s="221"/>
    </row>
    <row r="462" ht="15.75" customHeight="1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  <c r="AB462" s="221"/>
      <c r="AC462" s="221"/>
      <c r="AD462" s="221"/>
      <c r="AE462" s="221"/>
      <c r="AF462" s="221"/>
      <c r="AG462" s="221"/>
      <c r="AH462" s="221"/>
      <c r="AI462" s="221"/>
    </row>
    <row r="463" ht="15.75" customHeight="1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  <c r="AB463" s="221"/>
      <c r="AC463" s="221"/>
      <c r="AD463" s="221"/>
      <c r="AE463" s="221"/>
      <c r="AF463" s="221"/>
      <c r="AG463" s="221"/>
      <c r="AH463" s="221"/>
      <c r="AI463" s="221"/>
    </row>
    <row r="464" ht="15.75" customHeight="1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  <c r="AB464" s="221"/>
      <c r="AC464" s="221"/>
      <c r="AD464" s="221"/>
      <c r="AE464" s="221"/>
      <c r="AF464" s="221"/>
      <c r="AG464" s="221"/>
      <c r="AH464" s="221"/>
      <c r="AI464" s="221"/>
    </row>
    <row r="465" ht="15.75" customHeight="1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  <c r="AB465" s="221"/>
      <c r="AC465" s="221"/>
      <c r="AD465" s="221"/>
      <c r="AE465" s="221"/>
      <c r="AF465" s="221"/>
      <c r="AG465" s="221"/>
      <c r="AH465" s="221"/>
      <c r="AI465" s="221"/>
    </row>
    <row r="466" ht="15.75" customHeight="1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  <c r="AB466" s="221"/>
      <c r="AC466" s="221"/>
      <c r="AD466" s="221"/>
      <c r="AE466" s="221"/>
      <c r="AF466" s="221"/>
      <c r="AG466" s="221"/>
      <c r="AH466" s="221"/>
      <c r="AI466" s="221"/>
    </row>
    <row r="467" ht="15.75" customHeight="1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  <c r="AB467" s="221"/>
      <c r="AC467" s="221"/>
      <c r="AD467" s="221"/>
      <c r="AE467" s="221"/>
      <c r="AF467" s="221"/>
      <c r="AG467" s="221"/>
      <c r="AH467" s="221"/>
      <c r="AI467" s="221"/>
    </row>
    <row r="468" ht="15.75" customHeight="1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  <c r="AB468" s="221"/>
      <c r="AC468" s="221"/>
      <c r="AD468" s="221"/>
      <c r="AE468" s="221"/>
      <c r="AF468" s="221"/>
      <c r="AG468" s="221"/>
      <c r="AH468" s="221"/>
      <c r="AI468" s="221"/>
    </row>
    <row r="469" ht="15.75" customHeight="1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1"/>
      <c r="AG469" s="221"/>
      <c r="AH469" s="221"/>
      <c r="AI469" s="221"/>
    </row>
    <row r="470" ht="15.75" customHeight="1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  <c r="AB470" s="221"/>
      <c r="AC470" s="221"/>
      <c r="AD470" s="221"/>
      <c r="AE470" s="221"/>
      <c r="AF470" s="221"/>
      <c r="AG470" s="221"/>
      <c r="AH470" s="221"/>
      <c r="AI470" s="221"/>
    </row>
    <row r="471" ht="15.75" customHeight="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  <c r="AB471" s="221"/>
      <c r="AC471" s="221"/>
      <c r="AD471" s="221"/>
      <c r="AE471" s="221"/>
      <c r="AF471" s="221"/>
      <c r="AG471" s="221"/>
      <c r="AH471" s="221"/>
      <c r="AI471" s="221"/>
    </row>
    <row r="472" ht="15.75" customHeight="1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  <c r="AB472" s="221"/>
      <c r="AC472" s="221"/>
      <c r="AD472" s="221"/>
      <c r="AE472" s="221"/>
      <c r="AF472" s="221"/>
      <c r="AG472" s="221"/>
      <c r="AH472" s="221"/>
      <c r="AI472" s="221"/>
    </row>
    <row r="473" ht="15.75" customHeight="1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  <c r="AB473" s="221"/>
      <c r="AC473" s="221"/>
      <c r="AD473" s="221"/>
      <c r="AE473" s="221"/>
      <c r="AF473" s="221"/>
      <c r="AG473" s="221"/>
      <c r="AH473" s="221"/>
      <c r="AI473" s="221"/>
    </row>
    <row r="474" ht="15.75" customHeight="1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  <c r="AB474" s="221"/>
      <c r="AC474" s="221"/>
      <c r="AD474" s="221"/>
      <c r="AE474" s="221"/>
      <c r="AF474" s="221"/>
      <c r="AG474" s="221"/>
      <c r="AH474" s="221"/>
      <c r="AI474" s="221"/>
    </row>
    <row r="475" ht="15.75" customHeight="1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  <c r="AB475" s="221"/>
      <c r="AC475" s="221"/>
      <c r="AD475" s="221"/>
      <c r="AE475" s="221"/>
      <c r="AF475" s="221"/>
      <c r="AG475" s="221"/>
      <c r="AH475" s="221"/>
      <c r="AI475" s="221"/>
    </row>
    <row r="476" ht="15.75" customHeight="1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  <c r="AB476" s="221"/>
      <c r="AC476" s="221"/>
      <c r="AD476" s="221"/>
      <c r="AE476" s="221"/>
      <c r="AF476" s="221"/>
      <c r="AG476" s="221"/>
      <c r="AH476" s="221"/>
      <c r="AI476" s="221"/>
    </row>
    <row r="477" ht="15.75" customHeight="1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  <c r="AB477" s="221"/>
      <c r="AC477" s="221"/>
      <c r="AD477" s="221"/>
      <c r="AE477" s="221"/>
      <c r="AF477" s="221"/>
      <c r="AG477" s="221"/>
      <c r="AH477" s="221"/>
      <c r="AI477" s="221"/>
    </row>
    <row r="478" ht="15.75" customHeight="1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  <c r="AB478" s="221"/>
      <c r="AC478" s="221"/>
      <c r="AD478" s="221"/>
      <c r="AE478" s="221"/>
      <c r="AF478" s="221"/>
      <c r="AG478" s="221"/>
      <c r="AH478" s="221"/>
      <c r="AI478" s="221"/>
    </row>
    <row r="479" ht="15.75" customHeight="1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  <c r="AB479" s="221"/>
      <c r="AC479" s="221"/>
      <c r="AD479" s="221"/>
      <c r="AE479" s="221"/>
      <c r="AF479" s="221"/>
      <c r="AG479" s="221"/>
      <c r="AH479" s="221"/>
      <c r="AI479" s="221"/>
    </row>
    <row r="480" ht="15.75" customHeight="1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  <c r="AB480" s="221"/>
      <c r="AC480" s="221"/>
      <c r="AD480" s="221"/>
      <c r="AE480" s="221"/>
      <c r="AF480" s="221"/>
      <c r="AG480" s="221"/>
      <c r="AH480" s="221"/>
      <c r="AI480" s="221"/>
    </row>
    <row r="481" ht="15.75" customHeight="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  <c r="AB481" s="221"/>
      <c r="AC481" s="221"/>
      <c r="AD481" s="221"/>
      <c r="AE481" s="221"/>
      <c r="AF481" s="221"/>
      <c r="AG481" s="221"/>
      <c r="AH481" s="221"/>
      <c r="AI481" s="221"/>
    </row>
    <row r="482" ht="15.75" customHeight="1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  <c r="AB482" s="221"/>
      <c r="AC482" s="221"/>
      <c r="AD482" s="221"/>
      <c r="AE482" s="221"/>
      <c r="AF482" s="221"/>
      <c r="AG482" s="221"/>
      <c r="AH482" s="221"/>
      <c r="AI482" s="221"/>
    </row>
    <row r="483" ht="15.75" customHeight="1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  <c r="AB483" s="221"/>
      <c r="AC483" s="221"/>
      <c r="AD483" s="221"/>
      <c r="AE483" s="221"/>
      <c r="AF483" s="221"/>
      <c r="AG483" s="221"/>
      <c r="AH483" s="221"/>
      <c r="AI483" s="221"/>
    </row>
    <row r="484" ht="15.75" customHeight="1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  <c r="AB484" s="221"/>
      <c r="AC484" s="221"/>
      <c r="AD484" s="221"/>
      <c r="AE484" s="221"/>
      <c r="AF484" s="221"/>
      <c r="AG484" s="221"/>
      <c r="AH484" s="221"/>
      <c r="AI484" s="221"/>
    </row>
    <row r="485" ht="15.75" customHeight="1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  <c r="AB485" s="221"/>
      <c r="AC485" s="221"/>
      <c r="AD485" s="221"/>
      <c r="AE485" s="221"/>
      <c r="AF485" s="221"/>
      <c r="AG485" s="221"/>
      <c r="AH485" s="221"/>
      <c r="AI485" s="221"/>
    </row>
    <row r="486" ht="15.75" customHeight="1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  <c r="AB486" s="221"/>
      <c r="AC486" s="221"/>
      <c r="AD486" s="221"/>
      <c r="AE486" s="221"/>
      <c r="AF486" s="221"/>
      <c r="AG486" s="221"/>
      <c r="AH486" s="221"/>
      <c r="AI486" s="221"/>
    </row>
    <row r="487" ht="15.75" customHeight="1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  <c r="AB487" s="221"/>
      <c r="AC487" s="221"/>
      <c r="AD487" s="221"/>
      <c r="AE487" s="221"/>
      <c r="AF487" s="221"/>
      <c r="AG487" s="221"/>
      <c r="AH487" s="221"/>
      <c r="AI487" s="221"/>
    </row>
    <row r="488" ht="15.75" customHeight="1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  <c r="AB488" s="221"/>
      <c r="AC488" s="221"/>
      <c r="AD488" s="221"/>
      <c r="AE488" s="221"/>
      <c r="AF488" s="221"/>
      <c r="AG488" s="221"/>
      <c r="AH488" s="221"/>
      <c r="AI488" s="221"/>
    </row>
    <row r="489" ht="15.75" customHeight="1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  <c r="AB489" s="221"/>
      <c r="AC489" s="221"/>
      <c r="AD489" s="221"/>
      <c r="AE489" s="221"/>
      <c r="AF489" s="221"/>
      <c r="AG489" s="221"/>
      <c r="AH489" s="221"/>
      <c r="AI489" s="221"/>
    </row>
    <row r="490" ht="15.75" customHeight="1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  <c r="AB490" s="221"/>
      <c r="AC490" s="221"/>
      <c r="AD490" s="221"/>
      <c r="AE490" s="221"/>
      <c r="AF490" s="221"/>
      <c r="AG490" s="221"/>
      <c r="AH490" s="221"/>
      <c r="AI490" s="221"/>
    </row>
    <row r="491" ht="15.75" customHeight="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  <c r="AB491" s="221"/>
      <c r="AC491" s="221"/>
      <c r="AD491" s="221"/>
      <c r="AE491" s="221"/>
      <c r="AF491" s="221"/>
      <c r="AG491" s="221"/>
      <c r="AH491" s="221"/>
      <c r="AI491" s="221"/>
    </row>
    <row r="492" ht="15.75" customHeight="1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  <c r="AB492" s="221"/>
      <c r="AC492" s="221"/>
      <c r="AD492" s="221"/>
      <c r="AE492" s="221"/>
      <c r="AF492" s="221"/>
      <c r="AG492" s="221"/>
      <c r="AH492" s="221"/>
      <c r="AI492" s="221"/>
    </row>
    <row r="493" ht="15.75" customHeight="1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  <c r="AB493" s="221"/>
      <c r="AC493" s="221"/>
      <c r="AD493" s="221"/>
      <c r="AE493" s="221"/>
      <c r="AF493" s="221"/>
      <c r="AG493" s="221"/>
      <c r="AH493" s="221"/>
      <c r="AI493" s="221"/>
    </row>
    <row r="494" ht="15.75" customHeight="1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  <c r="AB494" s="221"/>
      <c r="AC494" s="221"/>
      <c r="AD494" s="221"/>
      <c r="AE494" s="221"/>
      <c r="AF494" s="221"/>
      <c r="AG494" s="221"/>
      <c r="AH494" s="221"/>
      <c r="AI494" s="221"/>
    </row>
    <row r="495" ht="15.75" customHeight="1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  <c r="AB495" s="221"/>
      <c r="AC495" s="221"/>
      <c r="AD495" s="221"/>
      <c r="AE495" s="221"/>
      <c r="AF495" s="221"/>
      <c r="AG495" s="221"/>
      <c r="AH495" s="221"/>
      <c r="AI495" s="221"/>
    </row>
    <row r="496" ht="15.75" customHeight="1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  <c r="AB496" s="221"/>
      <c r="AC496" s="221"/>
      <c r="AD496" s="221"/>
      <c r="AE496" s="221"/>
      <c r="AF496" s="221"/>
      <c r="AG496" s="221"/>
      <c r="AH496" s="221"/>
      <c r="AI496" s="221"/>
    </row>
    <row r="497" ht="15.75" customHeight="1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  <c r="AB497" s="221"/>
      <c r="AC497" s="221"/>
      <c r="AD497" s="221"/>
      <c r="AE497" s="221"/>
      <c r="AF497" s="221"/>
      <c r="AG497" s="221"/>
      <c r="AH497" s="221"/>
      <c r="AI497" s="221"/>
    </row>
    <row r="498" ht="15.75" customHeight="1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  <c r="AB498" s="221"/>
      <c r="AC498" s="221"/>
      <c r="AD498" s="221"/>
      <c r="AE498" s="221"/>
      <c r="AF498" s="221"/>
      <c r="AG498" s="221"/>
      <c r="AH498" s="221"/>
      <c r="AI498" s="221"/>
    </row>
    <row r="499" ht="15.75" customHeight="1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  <c r="AB499" s="221"/>
      <c r="AC499" s="221"/>
      <c r="AD499" s="221"/>
      <c r="AE499" s="221"/>
      <c r="AF499" s="221"/>
      <c r="AG499" s="221"/>
      <c r="AH499" s="221"/>
      <c r="AI499" s="221"/>
    </row>
    <row r="500" ht="15.75" customHeight="1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  <c r="AB500" s="221"/>
      <c r="AC500" s="221"/>
      <c r="AD500" s="221"/>
      <c r="AE500" s="221"/>
      <c r="AF500" s="221"/>
      <c r="AG500" s="221"/>
      <c r="AH500" s="221"/>
      <c r="AI500" s="221"/>
    </row>
    <row r="501" ht="15.75" customHeight="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  <c r="AB501" s="221"/>
      <c r="AC501" s="221"/>
      <c r="AD501" s="221"/>
      <c r="AE501" s="221"/>
      <c r="AF501" s="221"/>
      <c r="AG501" s="221"/>
      <c r="AH501" s="221"/>
      <c r="AI501" s="221"/>
    </row>
    <row r="502" ht="15.75" customHeight="1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  <c r="AB502" s="221"/>
      <c r="AC502" s="221"/>
      <c r="AD502" s="221"/>
      <c r="AE502" s="221"/>
      <c r="AF502" s="221"/>
      <c r="AG502" s="221"/>
      <c r="AH502" s="221"/>
      <c r="AI502" s="221"/>
    </row>
    <row r="503" ht="15.75" customHeight="1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  <c r="AB503" s="221"/>
      <c r="AC503" s="221"/>
      <c r="AD503" s="221"/>
      <c r="AE503" s="221"/>
      <c r="AF503" s="221"/>
      <c r="AG503" s="221"/>
      <c r="AH503" s="221"/>
      <c r="AI503" s="221"/>
    </row>
    <row r="504" ht="15.75" customHeight="1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  <c r="AB504" s="221"/>
      <c r="AC504" s="221"/>
      <c r="AD504" s="221"/>
      <c r="AE504" s="221"/>
      <c r="AF504" s="221"/>
      <c r="AG504" s="221"/>
      <c r="AH504" s="221"/>
      <c r="AI504" s="221"/>
    </row>
    <row r="505" ht="15.75" customHeight="1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  <c r="AB505" s="221"/>
      <c r="AC505" s="221"/>
      <c r="AD505" s="221"/>
      <c r="AE505" s="221"/>
      <c r="AF505" s="221"/>
      <c r="AG505" s="221"/>
      <c r="AH505" s="221"/>
      <c r="AI505" s="221"/>
    </row>
    <row r="506" ht="15.75" customHeight="1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  <c r="AB506" s="221"/>
      <c r="AC506" s="221"/>
      <c r="AD506" s="221"/>
      <c r="AE506" s="221"/>
      <c r="AF506" s="221"/>
      <c r="AG506" s="221"/>
      <c r="AH506" s="221"/>
      <c r="AI506" s="221"/>
    </row>
    <row r="507" ht="15.75" customHeight="1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  <c r="AB507" s="221"/>
      <c r="AC507" s="221"/>
      <c r="AD507" s="221"/>
      <c r="AE507" s="221"/>
      <c r="AF507" s="221"/>
      <c r="AG507" s="221"/>
      <c r="AH507" s="221"/>
      <c r="AI507" s="221"/>
    </row>
    <row r="508" ht="15.75" customHeight="1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  <c r="AB508" s="221"/>
      <c r="AC508" s="221"/>
      <c r="AD508" s="221"/>
      <c r="AE508" s="221"/>
      <c r="AF508" s="221"/>
      <c r="AG508" s="221"/>
      <c r="AH508" s="221"/>
      <c r="AI508" s="221"/>
    </row>
    <row r="509" ht="15.75" customHeight="1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  <c r="AB509" s="221"/>
      <c r="AC509" s="221"/>
      <c r="AD509" s="221"/>
      <c r="AE509" s="221"/>
      <c r="AF509" s="221"/>
      <c r="AG509" s="221"/>
      <c r="AH509" s="221"/>
      <c r="AI509" s="221"/>
    </row>
    <row r="510" ht="15.75" customHeight="1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  <c r="AB510" s="221"/>
      <c r="AC510" s="221"/>
      <c r="AD510" s="221"/>
      <c r="AE510" s="221"/>
      <c r="AF510" s="221"/>
      <c r="AG510" s="221"/>
      <c r="AH510" s="221"/>
      <c r="AI510" s="221"/>
    </row>
    <row r="511" ht="15.75" customHeight="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  <c r="AB511" s="221"/>
      <c r="AC511" s="221"/>
      <c r="AD511" s="221"/>
      <c r="AE511" s="221"/>
      <c r="AF511" s="221"/>
      <c r="AG511" s="221"/>
      <c r="AH511" s="221"/>
      <c r="AI511" s="221"/>
    </row>
    <row r="512" ht="15.75" customHeight="1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  <c r="AB512" s="221"/>
      <c r="AC512" s="221"/>
      <c r="AD512" s="221"/>
      <c r="AE512" s="221"/>
      <c r="AF512" s="221"/>
      <c r="AG512" s="221"/>
      <c r="AH512" s="221"/>
      <c r="AI512" s="221"/>
    </row>
    <row r="513" ht="15.75" customHeight="1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  <c r="AB513" s="221"/>
      <c r="AC513" s="221"/>
      <c r="AD513" s="221"/>
      <c r="AE513" s="221"/>
      <c r="AF513" s="221"/>
      <c r="AG513" s="221"/>
      <c r="AH513" s="221"/>
      <c r="AI513" s="221"/>
    </row>
    <row r="514" ht="15.75" customHeight="1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  <c r="AB514" s="221"/>
      <c r="AC514" s="221"/>
      <c r="AD514" s="221"/>
      <c r="AE514" s="221"/>
      <c r="AF514" s="221"/>
      <c r="AG514" s="221"/>
      <c r="AH514" s="221"/>
      <c r="AI514" s="221"/>
    </row>
    <row r="515" ht="15.75" customHeight="1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  <c r="AB515" s="221"/>
      <c r="AC515" s="221"/>
      <c r="AD515" s="221"/>
      <c r="AE515" s="221"/>
      <c r="AF515" s="221"/>
      <c r="AG515" s="221"/>
      <c r="AH515" s="221"/>
      <c r="AI515" s="221"/>
    </row>
    <row r="516" ht="15.75" customHeight="1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  <c r="AB516" s="221"/>
      <c r="AC516" s="221"/>
      <c r="AD516" s="221"/>
      <c r="AE516" s="221"/>
      <c r="AF516" s="221"/>
      <c r="AG516" s="221"/>
      <c r="AH516" s="221"/>
      <c r="AI516" s="221"/>
    </row>
    <row r="517" ht="15.75" customHeight="1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  <c r="AB517" s="221"/>
      <c r="AC517" s="221"/>
      <c r="AD517" s="221"/>
      <c r="AE517" s="221"/>
      <c r="AF517" s="221"/>
      <c r="AG517" s="221"/>
      <c r="AH517" s="221"/>
      <c r="AI517" s="221"/>
    </row>
    <row r="518" ht="15.75" customHeight="1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  <c r="AB518" s="221"/>
      <c r="AC518" s="221"/>
      <c r="AD518" s="221"/>
      <c r="AE518" s="221"/>
      <c r="AF518" s="221"/>
      <c r="AG518" s="221"/>
      <c r="AH518" s="221"/>
      <c r="AI518" s="221"/>
    </row>
    <row r="519" ht="15.75" customHeight="1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  <c r="AB519" s="221"/>
      <c r="AC519" s="221"/>
      <c r="AD519" s="221"/>
      <c r="AE519" s="221"/>
      <c r="AF519" s="221"/>
      <c r="AG519" s="221"/>
      <c r="AH519" s="221"/>
      <c r="AI519" s="221"/>
    </row>
    <row r="520" ht="15.75" customHeight="1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  <c r="AB520" s="221"/>
      <c r="AC520" s="221"/>
      <c r="AD520" s="221"/>
      <c r="AE520" s="221"/>
      <c r="AF520" s="221"/>
      <c r="AG520" s="221"/>
      <c r="AH520" s="221"/>
      <c r="AI520" s="221"/>
    </row>
    <row r="521" ht="15.75" customHeight="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1"/>
      <c r="AG521" s="221"/>
      <c r="AH521" s="221"/>
      <c r="AI521" s="221"/>
    </row>
    <row r="522" ht="15.75" customHeight="1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  <c r="AB522" s="221"/>
      <c r="AC522" s="221"/>
      <c r="AD522" s="221"/>
      <c r="AE522" s="221"/>
      <c r="AF522" s="221"/>
      <c r="AG522" s="221"/>
      <c r="AH522" s="221"/>
      <c r="AI522" s="221"/>
    </row>
    <row r="523" ht="15.75" customHeight="1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  <c r="AB523" s="221"/>
      <c r="AC523" s="221"/>
      <c r="AD523" s="221"/>
      <c r="AE523" s="221"/>
      <c r="AF523" s="221"/>
      <c r="AG523" s="221"/>
      <c r="AH523" s="221"/>
      <c r="AI523" s="221"/>
    </row>
    <row r="524" ht="15.75" customHeight="1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  <c r="AB524" s="221"/>
      <c r="AC524" s="221"/>
      <c r="AD524" s="221"/>
      <c r="AE524" s="221"/>
      <c r="AF524" s="221"/>
      <c r="AG524" s="221"/>
      <c r="AH524" s="221"/>
      <c r="AI524" s="221"/>
    </row>
    <row r="525" ht="15.75" customHeight="1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  <c r="AB525" s="221"/>
      <c r="AC525" s="221"/>
      <c r="AD525" s="221"/>
      <c r="AE525" s="221"/>
      <c r="AF525" s="221"/>
      <c r="AG525" s="221"/>
      <c r="AH525" s="221"/>
      <c r="AI525" s="221"/>
    </row>
    <row r="526" ht="15.75" customHeight="1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  <c r="AB526" s="221"/>
      <c r="AC526" s="221"/>
      <c r="AD526" s="221"/>
      <c r="AE526" s="221"/>
      <c r="AF526" s="221"/>
      <c r="AG526" s="221"/>
      <c r="AH526" s="221"/>
      <c r="AI526" s="221"/>
    </row>
    <row r="527" ht="15.75" customHeight="1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  <c r="AB527" s="221"/>
      <c r="AC527" s="221"/>
      <c r="AD527" s="221"/>
      <c r="AE527" s="221"/>
      <c r="AF527" s="221"/>
      <c r="AG527" s="221"/>
      <c r="AH527" s="221"/>
      <c r="AI527" s="221"/>
    </row>
    <row r="528" ht="15.75" customHeight="1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  <c r="AB528" s="221"/>
      <c r="AC528" s="221"/>
      <c r="AD528" s="221"/>
      <c r="AE528" s="221"/>
      <c r="AF528" s="221"/>
      <c r="AG528" s="221"/>
      <c r="AH528" s="221"/>
      <c r="AI528" s="221"/>
    </row>
    <row r="529" ht="15.75" customHeight="1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  <c r="AB529" s="221"/>
      <c r="AC529" s="221"/>
      <c r="AD529" s="221"/>
      <c r="AE529" s="221"/>
      <c r="AF529" s="221"/>
      <c r="AG529" s="221"/>
      <c r="AH529" s="221"/>
      <c r="AI529" s="221"/>
    </row>
    <row r="530" ht="15.75" customHeight="1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  <c r="AB530" s="221"/>
      <c r="AC530" s="221"/>
      <c r="AD530" s="221"/>
      <c r="AE530" s="221"/>
      <c r="AF530" s="221"/>
      <c r="AG530" s="221"/>
      <c r="AH530" s="221"/>
      <c r="AI530" s="221"/>
    </row>
    <row r="531" ht="15.75" customHeight="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  <c r="AB531" s="221"/>
      <c r="AC531" s="221"/>
      <c r="AD531" s="221"/>
      <c r="AE531" s="221"/>
      <c r="AF531" s="221"/>
      <c r="AG531" s="221"/>
      <c r="AH531" s="221"/>
      <c r="AI531" s="221"/>
    </row>
    <row r="532" ht="15.75" customHeight="1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  <c r="AB532" s="221"/>
      <c r="AC532" s="221"/>
      <c r="AD532" s="221"/>
      <c r="AE532" s="221"/>
      <c r="AF532" s="221"/>
      <c r="AG532" s="221"/>
      <c r="AH532" s="221"/>
      <c r="AI532" s="221"/>
    </row>
    <row r="533" ht="15.75" customHeight="1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  <c r="AB533" s="221"/>
      <c r="AC533" s="221"/>
      <c r="AD533" s="221"/>
      <c r="AE533" s="221"/>
      <c r="AF533" s="221"/>
      <c r="AG533" s="221"/>
      <c r="AH533" s="221"/>
      <c r="AI533" s="221"/>
    </row>
    <row r="534" ht="15.75" customHeight="1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  <c r="AB534" s="221"/>
      <c r="AC534" s="221"/>
      <c r="AD534" s="221"/>
      <c r="AE534" s="221"/>
      <c r="AF534" s="221"/>
      <c r="AG534" s="221"/>
      <c r="AH534" s="221"/>
      <c r="AI534" s="221"/>
    </row>
    <row r="535" ht="15.75" customHeight="1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  <c r="AB535" s="221"/>
      <c r="AC535" s="221"/>
      <c r="AD535" s="221"/>
      <c r="AE535" s="221"/>
      <c r="AF535" s="221"/>
      <c r="AG535" s="221"/>
      <c r="AH535" s="221"/>
      <c r="AI535" s="221"/>
    </row>
    <row r="536" ht="15.75" customHeight="1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  <c r="AB536" s="221"/>
      <c r="AC536" s="221"/>
      <c r="AD536" s="221"/>
      <c r="AE536" s="221"/>
      <c r="AF536" s="221"/>
      <c r="AG536" s="221"/>
      <c r="AH536" s="221"/>
      <c r="AI536" s="221"/>
    </row>
    <row r="537" ht="15.75" customHeight="1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  <c r="AB537" s="221"/>
      <c r="AC537" s="221"/>
      <c r="AD537" s="221"/>
      <c r="AE537" s="221"/>
      <c r="AF537" s="221"/>
      <c r="AG537" s="221"/>
      <c r="AH537" s="221"/>
      <c r="AI537" s="221"/>
    </row>
    <row r="538" ht="15.75" customHeight="1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  <c r="AB538" s="221"/>
      <c r="AC538" s="221"/>
      <c r="AD538" s="221"/>
      <c r="AE538" s="221"/>
      <c r="AF538" s="221"/>
      <c r="AG538" s="221"/>
      <c r="AH538" s="221"/>
      <c r="AI538" s="221"/>
    </row>
    <row r="539" ht="15.75" customHeight="1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  <c r="AB539" s="221"/>
      <c r="AC539" s="221"/>
      <c r="AD539" s="221"/>
      <c r="AE539" s="221"/>
      <c r="AF539" s="221"/>
      <c r="AG539" s="221"/>
      <c r="AH539" s="221"/>
      <c r="AI539" s="221"/>
    </row>
    <row r="540" ht="15.75" customHeight="1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  <c r="AB540" s="221"/>
      <c r="AC540" s="221"/>
      <c r="AD540" s="221"/>
      <c r="AE540" s="221"/>
      <c r="AF540" s="221"/>
      <c r="AG540" s="221"/>
      <c r="AH540" s="221"/>
      <c r="AI540" s="221"/>
    </row>
    <row r="541" ht="15.75" customHeight="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  <c r="AB541" s="221"/>
      <c r="AC541" s="221"/>
      <c r="AD541" s="221"/>
      <c r="AE541" s="221"/>
      <c r="AF541" s="221"/>
      <c r="AG541" s="221"/>
      <c r="AH541" s="221"/>
      <c r="AI541" s="221"/>
    </row>
    <row r="542" ht="15.75" customHeight="1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  <c r="AB542" s="221"/>
      <c r="AC542" s="221"/>
      <c r="AD542" s="221"/>
      <c r="AE542" s="221"/>
      <c r="AF542" s="221"/>
      <c r="AG542" s="221"/>
      <c r="AH542" s="221"/>
      <c r="AI542" s="221"/>
    </row>
    <row r="543" ht="15.75" customHeight="1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  <c r="AB543" s="221"/>
      <c r="AC543" s="221"/>
      <c r="AD543" s="221"/>
      <c r="AE543" s="221"/>
      <c r="AF543" s="221"/>
      <c r="AG543" s="221"/>
      <c r="AH543" s="221"/>
      <c r="AI543" s="221"/>
    </row>
    <row r="544" ht="15.75" customHeight="1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  <c r="AB544" s="221"/>
      <c r="AC544" s="221"/>
      <c r="AD544" s="221"/>
      <c r="AE544" s="221"/>
      <c r="AF544" s="221"/>
      <c r="AG544" s="221"/>
      <c r="AH544" s="221"/>
      <c r="AI544" s="221"/>
    </row>
    <row r="545" ht="15.75" customHeight="1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  <c r="AB545" s="221"/>
      <c r="AC545" s="221"/>
      <c r="AD545" s="221"/>
      <c r="AE545" s="221"/>
      <c r="AF545" s="221"/>
      <c r="AG545" s="221"/>
      <c r="AH545" s="221"/>
      <c r="AI545" s="221"/>
    </row>
    <row r="546" ht="15.75" customHeight="1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  <c r="AB546" s="221"/>
      <c r="AC546" s="221"/>
      <c r="AD546" s="221"/>
      <c r="AE546" s="221"/>
      <c r="AF546" s="221"/>
      <c r="AG546" s="221"/>
      <c r="AH546" s="221"/>
      <c r="AI546" s="221"/>
    </row>
    <row r="547" ht="15.75" customHeight="1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  <c r="AB547" s="221"/>
      <c r="AC547" s="221"/>
      <c r="AD547" s="221"/>
      <c r="AE547" s="221"/>
      <c r="AF547" s="221"/>
      <c r="AG547" s="221"/>
      <c r="AH547" s="221"/>
      <c r="AI547" s="221"/>
    </row>
    <row r="548" ht="15.75" customHeight="1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  <c r="AB548" s="221"/>
      <c r="AC548" s="221"/>
      <c r="AD548" s="221"/>
      <c r="AE548" s="221"/>
      <c r="AF548" s="221"/>
      <c r="AG548" s="221"/>
      <c r="AH548" s="221"/>
      <c r="AI548" s="221"/>
    </row>
    <row r="549" ht="15.75" customHeight="1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  <c r="AB549" s="221"/>
      <c r="AC549" s="221"/>
      <c r="AD549" s="221"/>
      <c r="AE549" s="221"/>
      <c r="AF549" s="221"/>
      <c r="AG549" s="221"/>
      <c r="AH549" s="221"/>
      <c r="AI549" s="221"/>
    </row>
    <row r="550" ht="15.75" customHeight="1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  <c r="AB550" s="221"/>
      <c r="AC550" s="221"/>
      <c r="AD550" s="221"/>
      <c r="AE550" s="221"/>
      <c r="AF550" s="221"/>
      <c r="AG550" s="221"/>
      <c r="AH550" s="221"/>
      <c r="AI550" s="221"/>
    </row>
    <row r="551" ht="15.75" customHeight="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  <c r="AB551" s="221"/>
      <c r="AC551" s="221"/>
      <c r="AD551" s="221"/>
      <c r="AE551" s="221"/>
      <c r="AF551" s="221"/>
      <c r="AG551" s="221"/>
      <c r="AH551" s="221"/>
      <c r="AI551" s="221"/>
    </row>
    <row r="552" ht="15.75" customHeight="1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  <c r="AB552" s="221"/>
      <c r="AC552" s="221"/>
      <c r="AD552" s="221"/>
      <c r="AE552" s="221"/>
      <c r="AF552" s="221"/>
      <c r="AG552" s="221"/>
      <c r="AH552" s="221"/>
      <c r="AI552" s="221"/>
    </row>
    <row r="553" ht="15.75" customHeight="1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  <c r="AB553" s="221"/>
      <c r="AC553" s="221"/>
      <c r="AD553" s="221"/>
      <c r="AE553" s="221"/>
      <c r="AF553" s="221"/>
      <c r="AG553" s="221"/>
      <c r="AH553" s="221"/>
      <c r="AI553" s="221"/>
    </row>
    <row r="554" ht="15.75" customHeight="1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  <c r="AB554" s="221"/>
      <c r="AC554" s="221"/>
      <c r="AD554" s="221"/>
      <c r="AE554" s="221"/>
      <c r="AF554" s="221"/>
      <c r="AG554" s="221"/>
      <c r="AH554" s="221"/>
      <c r="AI554" s="221"/>
    </row>
    <row r="555" ht="15.75" customHeight="1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  <c r="AB555" s="221"/>
      <c r="AC555" s="221"/>
      <c r="AD555" s="221"/>
      <c r="AE555" s="221"/>
      <c r="AF555" s="221"/>
      <c r="AG555" s="221"/>
      <c r="AH555" s="221"/>
      <c r="AI555" s="221"/>
    </row>
    <row r="556" ht="15.75" customHeight="1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  <c r="AB556" s="221"/>
      <c r="AC556" s="221"/>
      <c r="AD556" s="221"/>
      <c r="AE556" s="221"/>
      <c r="AF556" s="221"/>
      <c r="AG556" s="221"/>
      <c r="AH556" s="221"/>
      <c r="AI556" s="221"/>
    </row>
    <row r="557" ht="15.75" customHeight="1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  <c r="AB557" s="221"/>
      <c r="AC557" s="221"/>
      <c r="AD557" s="221"/>
      <c r="AE557" s="221"/>
      <c r="AF557" s="221"/>
      <c r="AG557" s="221"/>
      <c r="AH557" s="221"/>
      <c r="AI557" s="221"/>
    </row>
    <row r="558" ht="15.75" customHeight="1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  <c r="AB558" s="221"/>
      <c r="AC558" s="221"/>
      <c r="AD558" s="221"/>
      <c r="AE558" s="221"/>
      <c r="AF558" s="221"/>
      <c r="AG558" s="221"/>
      <c r="AH558" s="221"/>
      <c r="AI558" s="221"/>
    </row>
    <row r="559" ht="15.75" customHeight="1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  <c r="AB559" s="221"/>
      <c r="AC559" s="221"/>
      <c r="AD559" s="221"/>
      <c r="AE559" s="221"/>
      <c r="AF559" s="221"/>
      <c r="AG559" s="221"/>
      <c r="AH559" s="221"/>
      <c r="AI559" s="221"/>
    </row>
    <row r="560" ht="15.75" customHeight="1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  <c r="AB560" s="221"/>
      <c r="AC560" s="221"/>
      <c r="AD560" s="221"/>
      <c r="AE560" s="221"/>
      <c r="AF560" s="221"/>
      <c r="AG560" s="221"/>
      <c r="AH560" s="221"/>
      <c r="AI560" s="221"/>
    </row>
    <row r="561" ht="15.75" customHeight="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  <c r="AB561" s="221"/>
      <c r="AC561" s="221"/>
      <c r="AD561" s="221"/>
      <c r="AE561" s="221"/>
      <c r="AF561" s="221"/>
      <c r="AG561" s="221"/>
      <c r="AH561" s="221"/>
      <c r="AI561" s="221"/>
    </row>
    <row r="562" ht="15.75" customHeight="1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  <c r="AB562" s="221"/>
      <c r="AC562" s="221"/>
      <c r="AD562" s="221"/>
      <c r="AE562" s="221"/>
      <c r="AF562" s="221"/>
      <c r="AG562" s="221"/>
      <c r="AH562" s="221"/>
      <c r="AI562" s="221"/>
    </row>
    <row r="563" ht="15.75" customHeight="1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  <c r="AB563" s="221"/>
      <c r="AC563" s="221"/>
      <c r="AD563" s="221"/>
      <c r="AE563" s="221"/>
      <c r="AF563" s="221"/>
      <c r="AG563" s="221"/>
      <c r="AH563" s="221"/>
      <c r="AI563" s="221"/>
    </row>
    <row r="564" ht="15.75" customHeight="1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  <c r="AB564" s="221"/>
      <c r="AC564" s="221"/>
      <c r="AD564" s="221"/>
      <c r="AE564" s="221"/>
      <c r="AF564" s="221"/>
      <c r="AG564" s="221"/>
      <c r="AH564" s="221"/>
      <c r="AI564" s="221"/>
    </row>
    <row r="565" ht="15.75" customHeight="1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  <c r="AB565" s="221"/>
      <c r="AC565" s="221"/>
      <c r="AD565" s="221"/>
      <c r="AE565" s="221"/>
      <c r="AF565" s="221"/>
      <c r="AG565" s="221"/>
      <c r="AH565" s="221"/>
      <c r="AI565" s="221"/>
    </row>
    <row r="566" ht="15.75" customHeight="1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B566" s="221"/>
      <c r="AC566" s="221"/>
      <c r="AD566" s="221"/>
      <c r="AE566" s="221"/>
      <c r="AF566" s="221"/>
      <c r="AG566" s="221"/>
      <c r="AH566" s="221"/>
      <c r="AI566" s="221"/>
    </row>
    <row r="567" ht="15.75" customHeight="1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  <c r="AB567" s="221"/>
      <c r="AC567" s="221"/>
      <c r="AD567" s="221"/>
      <c r="AE567" s="221"/>
      <c r="AF567" s="221"/>
      <c r="AG567" s="221"/>
      <c r="AH567" s="221"/>
      <c r="AI567" s="221"/>
    </row>
    <row r="568" ht="15.75" customHeight="1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  <c r="AB568" s="221"/>
      <c r="AC568" s="221"/>
      <c r="AD568" s="221"/>
      <c r="AE568" s="221"/>
      <c r="AF568" s="221"/>
      <c r="AG568" s="221"/>
      <c r="AH568" s="221"/>
      <c r="AI568" s="221"/>
    </row>
    <row r="569" ht="15.75" customHeight="1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  <c r="AB569" s="221"/>
      <c r="AC569" s="221"/>
      <c r="AD569" s="221"/>
      <c r="AE569" s="221"/>
      <c r="AF569" s="221"/>
      <c r="AG569" s="221"/>
      <c r="AH569" s="221"/>
      <c r="AI569" s="221"/>
    </row>
    <row r="570" ht="15.75" customHeight="1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  <c r="AB570" s="221"/>
      <c r="AC570" s="221"/>
      <c r="AD570" s="221"/>
      <c r="AE570" s="221"/>
      <c r="AF570" s="221"/>
      <c r="AG570" s="221"/>
      <c r="AH570" s="221"/>
      <c r="AI570" s="221"/>
    </row>
    <row r="571" ht="15.75" customHeight="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  <c r="AB571" s="221"/>
      <c r="AC571" s="221"/>
      <c r="AD571" s="221"/>
      <c r="AE571" s="221"/>
      <c r="AF571" s="221"/>
      <c r="AG571" s="221"/>
      <c r="AH571" s="221"/>
      <c r="AI571" s="221"/>
    </row>
    <row r="572" ht="15.75" customHeight="1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  <c r="AB572" s="221"/>
      <c r="AC572" s="221"/>
      <c r="AD572" s="221"/>
      <c r="AE572" s="221"/>
      <c r="AF572" s="221"/>
      <c r="AG572" s="221"/>
      <c r="AH572" s="221"/>
      <c r="AI572" s="221"/>
    </row>
    <row r="573" ht="15.75" customHeight="1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  <c r="AB573" s="221"/>
      <c r="AC573" s="221"/>
      <c r="AD573" s="221"/>
      <c r="AE573" s="221"/>
      <c r="AF573" s="221"/>
      <c r="AG573" s="221"/>
      <c r="AH573" s="221"/>
      <c r="AI573" s="221"/>
    </row>
    <row r="574" ht="15.75" customHeight="1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  <c r="AB574" s="221"/>
      <c r="AC574" s="221"/>
      <c r="AD574" s="221"/>
      <c r="AE574" s="221"/>
      <c r="AF574" s="221"/>
      <c r="AG574" s="221"/>
      <c r="AH574" s="221"/>
      <c r="AI574" s="221"/>
    </row>
    <row r="575" ht="15.75" customHeight="1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  <c r="AB575" s="221"/>
      <c r="AC575" s="221"/>
      <c r="AD575" s="221"/>
      <c r="AE575" s="221"/>
      <c r="AF575" s="221"/>
      <c r="AG575" s="221"/>
      <c r="AH575" s="221"/>
      <c r="AI575" s="221"/>
    </row>
    <row r="576" ht="15.75" customHeight="1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  <c r="AB576" s="221"/>
      <c r="AC576" s="221"/>
      <c r="AD576" s="221"/>
      <c r="AE576" s="221"/>
      <c r="AF576" s="221"/>
      <c r="AG576" s="221"/>
      <c r="AH576" s="221"/>
      <c r="AI576" s="221"/>
    </row>
    <row r="577" ht="15.75" customHeight="1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  <c r="AB577" s="221"/>
      <c r="AC577" s="221"/>
      <c r="AD577" s="221"/>
      <c r="AE577" s="221"/>
      <c r="AF577" s="221"/>
      <c r="AG577" s="221"/>
      <c r="AH577" s="221"/>
      <c r="AI577" s="221"/>
    </row>
    <row r="578" ht="15.75" customHeight="1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  <c r="AB578" s="221"/>
      <c r="AC578" s="221"/>
      <c r="AD578" s="221"/>
      <c r="AE578" s="221"/>
      <c r="AF578" s="221"/>
      <c r="AG578" s="221"/>
      <c r="AH578" s="221"/>
      <c r="AI578" s="221"/>
    </row>
    <row r="579" ht="15.75" customHeight="1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  <c r="AB579" s="221"/>
      <c r="AC579" s="221"/>
      <c r="AD579" s="221"/>
      <c r="AE579" s="221"/>
      <c r="AF579" s="221"/>
      <c r="AG579" s="221"/>
      <c r="AH579" s="221"/>
      <c r="AI579" s="221"/>
    </row>
    <row r="580" ht="15.75" customHeight="1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  <c r="AB580" s="221"/>
      <c r="AC580" s="221"/>
      <c r="AD580" s="221"/>
      <c r="AE580" s="221"/>
      <c r="AF580" s="221"/>
      <c r="AG580" s="221"/>
      <c r="AH580" s="221"/>
      <c r="AI580" s="221"/>
    </row>
    <row r="581" ht="15.75" customHeight="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  <c r="AB581" s="221"/>
      <c r="AC581" s="221"/>
      <c r="AD581" s="221"/>
      <c r="AE581" s="221"/>
      <c r="AF581" s="221"/>
      <c r="AG581" s="221"/>
      <c r="AH581" s="221"/>
      <c r="AI581" s="221"/>
    </row>
    <row r="582" ht="15.75" customHeight="1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  <c r="AB582" s="221"/>
      <c r="AC582" s="221"/>
      <c r="AD582" s="221"/>
      <c r="AE582" s="221"/>
      <c r="AF582" s="221"/>
      <c r="AG582" s="221"/>
      <c r="AH582" s="221"/>
      <c r="AI582" s="221"/>
    </row>
    <row r="583" ht="15.75" customHeight="1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  <c r="AB583" s="221"/>
      <c r="AC583" s="221"/>
      <c r="AD583" s="221"/>
      <c r="AE583" s="221"/>
      <c r="AF583" s="221"/>
      <c r="AG583" s="221"/>
      <c r="AH583" s="221"/>
      <c r="AI583" s="221"/>
    </row>
    <row r="584" ht="15.75" customHeight="1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  <c r="AB584" s="221"/>
      <c r="AC584" s="221"/>
      <c r="AD584" s="221"/>
      <c r="AE584" s="221"/>
      <c r="AF584" s="221"/>
      <c r="AG584" s="221"/>
      <c r="AH584" s="221"/>
      <c r="AI584" s="221"/>
    </row>
    <row r="585" ht="15.75" customHeight="1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  <c r="AB585" s="221"/>
      <c r="AC585" s="221"/>
      <c r="AD585" s="221"/>
      <c r="AE585" s="221"/>
      <c r="AF585" s="221"/>
      <c r="AG585" s="221"/>
      <c r="AH585" s="221"/>
      <c r="AI585" s="221"/>
    </row>
    <row r="586" ht="15.75" customHeight="1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  <c r="AB586" s="221"/>
      <c r="AC586" s="221"/>
      <c r="AD586" s="221"/>
      <c r="AE586" s="221"/>
      <c r="AF586" s="221"/>
      <c r="AG586" s="221"/>
      <c r="AH586" s="221"/>
      <c r="AI586" s="221"/>
    </row>
    <row r="587" ht="15.75" customHeight="1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  <c r="AB587" s="221"/>
      <c r="AC587" s="221"/>
      <c r="AD587" s="221"/>
      <c r="AE587" s="221"/>
      <c r="AF587" s="221"/>
      <c r="AG587" s="221"/>
      <c r="AH587" s="221"/>
      <c r="AI587" s="221"/>
    </row>
    <row r="588" ht="15.75" customHeight="1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  <c r="AB588" s="221"/>
      <c r="AC588" s="221"/>
      <c r="AD588" s="221"/>
      <c r="AE588" s="221"/>
      <c r="AF588" s="221"/>
      <c r="AG588" s="221"/>
      <c r="AH588" s="221"/>
      <c r="AI588" s="221"/>
    </row>
    <row r="589" ht="15.75" customHeight="1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  <c r="AB589" s="221"/>
      <c r="AC589" s="221"/>
      <c r="AD589" s="221"/>
      <c r="AE589" s="221"/>
      <c r="AF589" s="221"/>
      <c r="AG589" s="221"/>
      <c r="AH589" s="221"/>
      <c r="AI589" s="221"/>
    </row>
    <row r="590" ht="15.75" customHeight="1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  <c r="AB590" s="221"/>
      <c r="AC590" s="221"/>
      <c r="AD590" s="221"/>
      <c r="AE590" s="221"/>
      <c r="AF590" s="221"/>
      <c r="AG590" s="221"/>
      <c r="AH590" s="221"/>
      <c r="AI590" s="221"/>
    </row>
    <row r="591" ht="15.75" customHeight="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  <c r="AB591" s="221"/>
      <c r="AC591" s="221"/>
      <c r="AD591" s="221"/>
      <c r="AE591" s="221"/>
      <c r="AF591" s="221"/>
      <c r="AG591" s="221"/>
      <c r="AH591" s="221"/>
      <c r="AI591" s="221"/>
    </row>
    <row r="592" ht="15.75" customHeight="1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  <c r="AB592" s="221"/>
      <c r="AC592" s="221"/>
      <c r="AD592" s="221"/>
      <c r="AE592" s="221"/>
      <c r="AF592" s="221"/>
      <c r="AG592" s="221"/>
      <c r="AH592" s="221"/>
      <c r="AI592" s="221"/>
    </row>
    <row r="593" ht="15.75" customHeight="1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  <c r="AB593" s="221"/>
      <c r="AC593" s="221"/>
      <c r="AD593" s="221"/>
      <c r="AE593" s="221"/>
      <c r="AF593" s="221"/>
      <c r="AG593" s="221"/>
      <c r="AH593" s="221"/>
      <c r="AI593" s="221"/>
    </row>
    <row r="594" ht="15.75" customHeight="1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  <c r="AB594" s="221"/>
      <c r="AC594" s="221"/>
      <c r="AD594" s="221"/>
      <c r="AE594" s="221"/>
      <c r="AF594" s="221"/>
      <c r="AG594" s="221"/>
      <c r="AH594" s="221"/>
      <c r="AI594" s="221"/>
    </row>
    <row r="595" ht="15.75" customHeight="1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  <c r="AB595" s="221"/>
      <c r="AC595" s="221"/>
      <c r="AD595" s="221"/>
      <c r="AE595" s="221"/>
      <c r="AF595" s="221"/>
      <c r="AG595" s="221"/>
      <c r="AH595" s="221"/>
      <c r="AI595" s="221"/>
    </row>
    <row r="596" ht="15.75" customHeight="1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  <c r="AB596" s="221"/>
      <c r="AC596" s="221"/>
      <c r="AD596" s="221"/>
      <c r="AE596" s="221"/>
      <c r="AF596" s="221"/>
      <c r="AG596" s="221"/>
      <c r="AH596" s="221"/>
      <c r="AI596" s="221"/>
    </row>
    <row r="597" ht="15.75" customHeight="1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  <c r="AB597" s="221"/>
      <c r="AC597" s="221"/>
      <c r="AD597" s="221"/>
      <c r="AE597" s="221"/>
      <c r="AF597" s="221"/>
      <c r="AG597" s="221"/>
      <c r="AH597" s="221"/>
      <c r="AI597" s="221"/>
    </row>
    <row r="598" ht="15.75" customHeight="1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  <c r="AB598" s="221"/>
      <c r="AC598" s="221"/>
      <c r="AD598" s="221"/>
      <c r="AE598" s="221"/>
      <c r="AF598" s="221"/>
      <c r="AG598" s="221"/>
      <c r="AH598" s="221"/>
      <c r="AI598" s="221"/>
    </row>
    <row r="599" ht="15.75" customHeight="1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  <c r="AB599" s="221"/>
      <c r="AC599" s="221"/>
      <c r="AD599" s="221"/>
      <c r="AE599" s="221"/>
      <c r="AF599" s="221"/>
      <c r="AG599" s="221"/>
      <c r="AH599" s="221"/>
      <c r="AI599" s="221"/>
    </row>
    <row r="600" ht="15.75" customHeight="1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  <c r="AB600" s="221"/>
      <c r="AC600" s="221"/>
      <c r="AD600" s="221"/>
      <c r="AE600" s="221"/>
      <c r="AF600" s="221"/>
      <c r="AG600" s="221"/>
      <c r="AH600" s="221"/>
      <c r="AI600" s="221"/>
    </row>
    <row r="601" ht="15.75" customHeight="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  <c r="AB601" s="221"/>
      <c r="AC601" s="221"/>
      <c r="AD601" s="221"/>
      <c r="AE601" s="221"/>
      <c r="AF601" s="221"/>
      <c r="AG601" s="221"/>
      <c r="AH601" s="221"/>
      <c r="AI601" s="221"/>
    </row>
    <row r="602" ht="15.75" customHeight="1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  <c r="AB602" s="221"/>
      <c r="AC602" s="221"/>
      <c r="AD602" s="221"/>
      <c r="AE602" s="221"/>
      <c r="AF602" s="221"/>
      <c r="AG602" s="221"/>
      <c r="AH602" s="221"/>
      <c r="AI602" s="221"/>
    </row>
    <row r="603" ht="15.75" customHeight="1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  <c r="AB603" s="221"/>
      <c r="AC603" s="221"/>
      <c r="AD603" s="221"/>
      <c r="AE603" s="221"/>
      <c r="AF603" s="221"/>
      <c r="AG603" s="221"/>
      <c r="AH603" s="221"/>
      <c r="AI603" s="221"/>
    </row>
    <row r="604" ht="15.75" customHeight="1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  <c r="AB604" s="221"/>
      <c r="AC604" s="221"/>
      <c r="AD604" s="221"/>
      <c r="AE604" s="221"/>
      <c r="AF604" s="221"/>
      <c r="AG604" s="221"/>
      <c r="AH604" s="221"/>
      <c r="AI604" s="221"/>
    </row>
    <row r="605" ht="15.75" customHeight="1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  <c r="AB605" s="221"/>
      <c r="AC605" s="221"/>
      <c r="AD605" s="221"/>
      <c r="AE605" s="221"/>
      <c r="AF605" s="221"/>
      <c r="AG605" s="221"/>
      <c r="AH605" s="221"/>
      <c r="AI605" s="221"/>
    </row>
    <row r="606" ht="15.75" customHeight="1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  <c r="AB606" s="221"/>
      <c r="AC606" s="221"/>
      <c r="AD606" s="221"/>
      <c r="AE606" s="221"/>
      <c r="AF606" s="221"/>
      <c r="AG606" s="221"/>
      <c r="AH606" s="221"/>
      <c r="AI606" s="221"/>
    </row>
    <row r="607" ht="15.75" customHeight="1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  <c r="AB607" s="221"/>
      <c r="AC607" s="221"/>
      <c r="AD607" s="221"/>
      <c r="AE607" s="221"/>
      <c r="AF607" s="221"/>
      <c r="AG607" s="221"/>
      <c r="AH607" s="221"/>
      <c r="AI607" s="221"/>
    </row>
    <row r="608" ht="15.75" customHeight="1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  <c r="AB608" s="221"/>
      <c r="AC608" s="221"/>
      <c r="AD608" s="221"/>
      <c r="AE608" s="221"/>
      <c r="AF608" s="221"/>
      <c r="AG608" s="221"/>
      <c r="AH608" s="221"/>
      <c r="AI608" s="221"/>
    </row>
    <row r="609" ht="15.75" customHeight="1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  <c r="AB609" s="221"/>
      <c r="AC609" s="221"/>
      <c r="AD609" s="221"/>
      <c r="AE609" s="221"/>
      <c r="AF609" s="221"/>
      <c r="AG609" s="221"/>
      <c r="AH609" s="221"/>
      <c r="AI609" s="221"/>
    </row>
    <row r="610" ht="15.75" customHeight="1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  <c r="AB610" s="221"/>
      <c r="AC610" s="221"/>
      <c r="AD610" s="221"/>
      <c r="AE610" s="221"/>
      <c r="AF610" s="221"/>
      <c r="AG610" s="221"/>
      <c r="AH610" s="221"/>
      <c r="AI610" s="221"/>
    </row>
    <row r="611" ht="15.75" customHeight="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  <c r="AB611" s="221"/>
      <c r="AC611" s="221"/>
      <c r="AD611" s="221"/>
      <c r="AE611" s="221"/>
      <c r="AF611" s="221"/>
      <c r="AG611" s="221"/>
      <c r="AH611" s="221"/>
      <c r="AI611" s="221"/>
    </row>
    <row r="612" ht="15.75" customHeight="1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  <c r="AB612" s="221"/>
      <c r="AC612" s="221"/>
      <c r="AD612" s="221"/>
      <c r="AE612" s="221"/>
      <c r="AF612" s="221"/>
      <c r="AG612" s="221"/>
      <c r="AH612" s="221"/>
      <c r="AI612" s="221"/>
    </row>
    <row r="613" ht="15.75" customHeight="1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  <c r="AB613" s="221"/>
      <c r="AC613" s="221"/>
      <c r="AD613" s="221"/>
      <c r="AE613" s="221"/>
      <c r="AF613" s="221"/>
      <c r="AG613" s="221"/>
      <c r="AH613" s="221"/>
      <c r="AI613" s="221"/>
    </row>
    <row r="614" ht="15.75" customHeight="1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  <c r="AB614" s="221"/>
      <c r="AC614" s="221"/>
      <c r="AD614" s="221"/>
      <c r="AE614" s="221"/>
      <c r="AF614" s="221"/>
      <c r="AG614" s="221"/>
      <c r="AH614" s="221"/>
      <c r="AI614" s="221"/>
    </row>
    <row r="615" ht="15.75" customHeight="1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  <c r="AB615" s="221"/>
      <c r="AC615" s="221"/>
      <c r="AD615" s="221"/>
      <c r="AE615" s="221"/>
      <c r="AF615" s="221"/>
      <c r="AG615" s="221"/>
      <c r="AH615" s="221"/>
      <c r="AI615" s="221"/>
    </row>
    <row r="616" ht="15.75" customHeight="1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  <c r="AB616" s="221"/>
      <c r="AC616" s="221"/>
      <c r="AD616" s="221"/>
      <c r="AE616" s="221"/>
      <c r="AF616" s="221"/>
      <c r="AG616" s="221"/>
      <c r="AH616" s="221"/>
      <c r="AI616" s="221"/>
    </row>
    <row r="617" ht="15.75" customHeight="1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  <c r="AB617" s="221"/>
      <c r="AC617" s="221"/>
      <c r="AD617" s="221"/>
      <c r="AE617" s="221"/>
      <c r="AF617" s="221"/>
      <c r="AG617" s="221"/>
      <c r="AH617" s="221"/>
      <c r="AI617" s="221"/>
    </row>
    <row r="618" ht="15.75" customHeight="1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  <c r="AB618" s="221"/>
      <c r="AC618" s="221"/>
      <c r="AD618" s="221"/>
      <c r="AE618" s="221"/>
      <c r="AF618" s="221"/>
      <c r="AG618" s="221"/>
      <c r="AH618" s="221"/>
      <c r="AI618" s="221"/>
    </row>
    <row r="619" ht="15.75" customHeight="1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  <c r="AB619" s="221"/>
      <c r="AC619" s="221"/>
      <c r="AD619" s="221"/>
      <c r="AE619" s="221"/>
      <c r="AF619" s="221"/>
      <c r="AG619" s="221"/>
      <c r="AH619" s="221"/>
      <c r="AI619" s="221"/>
    </row>
    <row r="620" ht="15.75" customHeight="1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  <c r="AB620" s="221"/>
      <c r="AC620" s="221"/>
      <c r="AD620" s="221"/>
      <c r="AE620" s="221"/>
      <c r="AF620" s="221"/>
      <c r="AG620" s="221"/>
      <c r="AH620" s="221"/>
      <c r="AI620" s="221"/>
    </row>
    <row r="621" ht="15.75" customHeight="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  <c r="AB621" s="221"/>
      <c r="AC621" s="221"/>
      <c r="AD621" s="221"/>
      <c r="AE621" s="221"/>
      <c r="AF621" s="221"/>
      <c r="AG621" s="221"/>
      <c r="AH621" s="221"/>
      <c r="AI621" s="221"/>
    </row>
    <row r="622" ht="15.75" customHeight="1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  <c r="AB622" s="221"/>
      <c r="AC622" s="221"/>
      <c r="AD622" s="221"/>
      <c r="AE622" s="221"/>
      <c r="AF622" s="221"/>
      <c r="AG622" s="221"/>
      <c r="AH622" s="221"/>
      <c r="AI622" s="221"/>
    </row>
    <row r="623" ht="15.75" customHeight="1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  <c r="AB623" s="221"/>
      <c r="AC623" s="221"/>
      <c r="AD623" s="221"/>
      <c r="AE623" s="221"/>
      <c r="AF623" s="221"/>
      <c r="AG623" s="221"/>
      <c r="AH623" s="221"/>
      <c r="AI623" s="221"/>
    </row>
    <row r="624" ht="15.75" customHeight="1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  <c r="AB624" s="221"/>
      <c r="AC624" s="221"/>
      <c r="AD624" s="221"/>
      <c r="AE624" s="221"/>
      <c r="AF624" s="221"/>
      <c r="AG624" s="221"/>
      <c r="AH624" s="221"/>
      <c r="AI624" s="221"/>
    </row>
    <row r="625" ht="15.75" customHeight="1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  <c r="AB625" s="221"/>
      <c r="AC625" s="221"/>
      <c r="AD625" s="221"/>
      <c r="AE625" s="221"/>
      <c r="AF625" s="221"/>
      <c r="AG625" s="221"/>
      <c r="AH625" s="221"/>
      <c r="AI625" s="221"/>
    </row>
    <row r="626" ht="15.75" customHeight="1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  <c r="AB626" s="221"/>
      <c r="AC626" s="221"/>
      <c r="AD626" s="221"/>
      <c r="AE626" s="221"/>
      <c r="AF626" s="221"/>
      <c r="AG626" s="221"/>
      <c r="AH626" s="221"/>
      <c r="AI626" s="221"/>
    </row>
    <row r="627" ht="15.75" customHeight="1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  <c r="AB627" s="221"/>
      <c r="AC627" s="221"/>
      <c r="AD627" s="221"/>
      <c r="AE627" s="221"/>
      <c r="AF627" s="221"/>
      <c r="AG627" s="221"/>
      <c r="AH627" s="221"/>
      <c r="AI627" s="221"/>
    </row>
    <row r="628" ht="15.75" customHeight="1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  <c r="AB628" s="221"/>
      <c r="AC628" s="221"/>
      <c r="AD628" s="221"/>
      <c r="AE628" s="221"/>
      <c r="AF628" s="221"/>
      <c r="AG628" s="221"/>
      <c r="AH628" s="221"/>
      <c r="AI628" s="221"/>
    </row>
    <row r="629" ht="15.75" customHeight="1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  <c r="AB629" s="221"/>
      <c r="AC629" s="221"/>
      <c r="AD629" s="221"/>
      <c r="AE629" s="221"/>
      <c r="AF629" s="221"/>
      <c r="AG629" s="221"/>
      <c r="AH629" s="221"/>
      <c r="AI629" s="221"/>
    </row>
    <row r="630" ht="15.75" customHeight="1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  <c r="AB630" s="221"/>
      <c r="AC630" s="221"/>
      <c r="AD630" s="221"/>
      <c r="AE630" s="221"/>
      <c r="AF630" s="221"/>
      <c r="AG630" s="221"/>
      <c r="AH630" s="221"/>
      <c r="AI630" s="221"/>
    </row>
    <row r="631" ht="15.75" customHeight="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  <c r="AB631" s="221"/>
      <c r="AC631" s="221"/>
      <c r="AD631" s="221"/>
      <c r="AE631" s="221"/>
      <c r="AF631" s="221"/>
      <c r="AG631" s="221"/>
      <c r="AH631" s="221"/>
      <c r="AI631" s="221"/>
    </row>
    <row r="632" ht="15.75" customHeight="1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  <c r="AB632" s="221"/>
      <c r="AC632" s="221"/>
      <c r="AD632" s="221"/>
      <c r="AE632" s="221"/>
      <c r="AF632" s="221"/>
      <c r="AG632" s="221"/>
      <c r="AH632" s="221"/>
      <c r="AI632" s="221"/>
    </row>
    <row r="633" ht="15.75" customHeight="1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  <c r="AB633" s="221"/>
      <c r="AC633" s="221"/>
      <c r="AD633" s="221"/>
      <c r="AE633" s="221"/>
      <c r="AF633" s="221"/>
      <c r="AG633" s="221"/>
      <c r="AH633" s="221"/>
      <c r="AI633" s="221"/>
    </row>
    <row r="634" ht="15.75" customHeight="1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  <c r="AB634" s="221"/>
      <c r="AC634" s="221"/>
      <c r="AD634" s="221"/>
      <c r="AE634" s="221"/>
      <c r="AF634" s="221"/>
      <c r="AG634" s="221"/>
      <c r="AH634" s="221"/>
      <c r="AI634" s="221"/>
    </row>
    <row r="635" ht="15.75" customHeight="1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  <c r="AB635" s="221"/>
      <c r="AC635" s="221"/>
      <c r="AD635" s="221"/>
      <c r="AE635" s="221"/>
      <c r="AF635" s="221"/>
      <c r="AG635" s="221"/>
      <c r="AH635" s="221"/>
      <c r="AI635" s="221"/>
    </row>
    <row r="636" ht="15.75" customHeight="1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  <c r="AB636" s="221"/>
      <c r="AC636" s="221"/>
      <c r="AD636" s="221"/>
      <c r="AE636" s="221"/>
      <c r="AF636" s="221"/>
      <c r="AG636" s="221"/>
      <c r="AH636" s="221"/>
      <c r="AI636" s="221"/>
    </row>
    <row r="637" ht="15.75" customHeight="1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  <c r="AB637" s="221"/>
      <c r="AC637" s="221"/>
      <c r="AD637" s="221"/>
      <c r="AE637" s="221"/>
      <c r="AF637" s="221"/>
      <c r="AG637" s="221"/>
      <c r="AH637" s="221"/>
      <c r="AI637" s="221"/>
    </row>
    <row r="638" ht="15.75" customHeight="1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  <c r="AB638" s="221"/>
      <c r="AC638" s="221"/>
      <c r="AD638" s="221"/>
      <c r="AE638" s="221"/>
      <c r="AF638" s="221"/>
      <c r="AG638" s="221"/>
      <c r="AH638" s="221"/>
      <c r="AI638" s="221"/>
    </row>
    <row r="639" ht="15.75" customHeight="1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  <c r="AB639" s="221"/>
      <c r="AC639" s="221"/>
      <c r="AD639" s="221"/>
      <c r="AE639" s="221"/>
      <c r="AF639" s="221"/>
      <c r="AG639" s="221"/>
      <c r="AH639" s="221"/>
      <c r="AI639" s="221"/>
    </row>
    <row r="640" ht="15.75" customHeight="1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  <c r="AB640" s="221"/>
      <c r="AC640" s="221"/>
      <c r="AD640" s="221"/>
      <c r="AE640" s="221"/>
      <c r="AF640" s="221"/>
      <c r="AG640" s="221"/>
      <c r="AH640" s="221"/>
      <c r="AI640" s="221"/>
    </row>
    <row r="641" ht="15.75" customHeight="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  <c r="AB641" s="221"/>
      <c r="AC641" s="221"/>
      <c r="AD641" s="221"/>
      <c r="AE641" s="221"/>
      <c r="AF641" s="221"/>
      <c r="AG641" s="221"/>
      <c r="AH641" s="221"/>
      <c r="AI641" s="221"/>
    </row>
    <row r="642" ht="15.75" customHeight="1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  <c r="AB642" s="221"/>
      <c r="AC642" s="221"/>
      <c r="AD642" s="221"/>
      <c r="AE642" s="221"/>
      <c r="AF642" s="221"/>
      <c r="AG642" s="221"/>
      <c r="AH642" s="221"/>
      <c r="AI642" s="221"/>
    </row>
    <row r="643" ht="15.75" customHeight="1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  <c r="AB643" s="221"/>
      <c r="AC643" s="221"/>
      <c r="AD643" s="221"/>
      <c r="AE643" s="221"/>
      <c r="AF643" s="221"/>
      <c r="AG643" s="221"/>
      <c r="AH643" s="221"/>
      <c r="AI643" s="221"/>
    </row>
    <row r="644" ht="15.75" customHeight="1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  <c r="AB644" s="221"/>
      <c r="AC644" s="221"/>
      <c r="AD644" s="221"/>
      <c r="AE644" s="221"/>
      <c r="AF644" s="221"/>
      <c r="AG644" s="221"/>
      <c r="AH644" s="221"/>
      <c r="AI644" s="221"/>
    </row>
    <row r="645" ht="15.75" customHeight="1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  <c r="AB645" s="221"/>
      <c r="AC645" s="221"/>
      <c r="AD645" s="221"/>
      <c r="AE645" s="221"/>
      <c r="AF645" s="221"/>
      <c r="AG645" s="221"/>
      <c r="AH645" s="221"/>
      <c r="AI645" s="221"/>
    </row>
    <row r="646" ht="15.75" customHeight="1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  <c r="AB646" s="221"/>
      <c r="AC646" s="221"/>
      <c r="AD646" s="221"/>
      <c r="AE646" s="221"/>
      <c r="AF646" s="221"/>
      <c r="AG646" s="221"/>
      <c r="AH646" s="221"/>
      <c r="AI646" s="221"/>
    </row>
    <row r="647" ht="15.75" customHeight="1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  <c r="AB647" s="221"/>
      <c r="AC647" s="221"/>
      <c r="AD647" s="221"/>
      <c r="AE647" s="221"/>
      <c r="AF647" s="221"/>
      <c r="AG647" s="221"/>
      <c r="AH647" s="221"/>
      <c r="AI647" s="221"/>
    </row>
    <row r="648" ht="15.75" customHeight="1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  <c r="AB648" s="221"/>
      <c r="AC648" s="221"/>
      <c r="AD648" s="221"/>
      <c r="AE648" s="221"/>
      <c r="AF648" s="221"/>
      <c r="AG648" s="221"/>
      <c r="AH648" s="221"/>
      <c r="AI648" s="221"/>
    </row>
    <row r="649" ht="15.75" customHeight="1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  <c r="AB649" s="221"/>
      <c r="AC649" s="221"/>
      <c r="AD649" s="221"/>
      <c r="AE649" s="221"/>
      <c r="AF649" s="221"/>
      <c r="AG649" s="221"/>
      <c r="AH649" s="221"/>
      <c r="AI649" s="221"/>
    </row>
    <row r="650" ht="15.75" customHeight="1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  <c r="AB650" s="221"/>
      <c r="AC650" s="221"/>
      <c r="AD650" s="221"/>
      <c r="AE650" s="221"/>
      <c r="AF650" s="221"/>
      <c r="AG650" s="221"/>
      <c r="AH650" s="221"/>
      <c r="AI650" s="221"/>
    </row>
    <row r="651" ht="15.75" customHeight="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  <c r="AB651" s="221"/>
      <c r="AC651" s="221"/>
      <c r="AD651" s="221"/>
      <c r="AE651" s="221"/>
      <c r="AF651" s="221"/>
      <c r="AG651" s="221"/>
      <c r="AH651" s="221"/>
      <c r="AI651" s="221"/>
    </row>
    <row r="652" ht="15.75" customHeight="1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  <c r="AB652" s="221"/>
      <c r="AC652" s="221"/>
      <c r="AD652" s="221"/>
      <c r="AE652" s="221"/>
      <c r="AF652" s="221"/>
      <c r="AG652" s="221"/>
      <c r="AH652" s="221"/>
      <c r="AI652" s="221"/>
    </row>
    <row r="653" ht="15.75" customHeight="1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  <c r="AB653" s="221"/>
      <c r="AC653" s="221"/>
      <c r="AD653" s="221"/>
      <c r="AE653" s="221"/>
      <c r="AF653" s="221"/>
      <c r="AG653" s="221"/>
      <c r="AH653" s="221"/>
      <c r="AI653" s="221"/>
    </row>
    <row r="654" ht="15.75" customHeight="1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  <c r="AB654" s="221"/>
      <c r="AC654" s="221"/>
      <c r="AD654" s="221"/>
      <c r="AE654" s="221"/>
      <c r="AF654" s="221"/>
      <c r="AG654" s="221"/>
      <c r="AH654" s="221"/>
      <c r="AI654" s="221"/>
    </row>
    <row r="655" ht="15.75" customHeight="1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  <c r="AB655" s="221"/>
      <c r="AC655" s="221"/>
      <c r="AD655" s="221"/>
      <c r="AE655" s="221"/>
      <c r="AF655" s="221"/>
      <c r="AG655" s="221"/>
      <c r="AH655" s="221"/>
      <c r="AI655" s="221"/>
    </row>
    <row r="656" ht="15.75" customHeight="1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  <c r="AB656" s="221"/>
      <c r="AC656" s="221"/>
      <c r="AD656" s="221"/>
      <c r="AE656" s="221"/>
      <c r="AF656" s="221"/>
      <c r="AG656" s="221"/>
      <c r="AH656" s="221"/>
      <c r="AI656" s="221"/>
    </row>
    <row r="657" ht="15.75" customHeight="1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  <c r="AB657" s="221"/>
      <c r="AC657" s="221"/>
      <c r="AD657" s="221"/>
      <c r="AE657" s="221"/>
      <c r="AF657" s="221"/>
      <c r="AG657" s="221"/>
      <c r="AH657" s="221"/>
      <c r="AI657" s="221"/>
    </row>
    <row r="658" ht="15.75" customHeight="1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  <c r="AB658" s="221"/>
      <c r="AC658" s="221"/>
      <c r="AD658" s="221"/>
      <c r="AE658" s="221"/>
      <c r="AF658" s="221"/>
      <c r="AG658" s="221"/>
      <c r="AH658" s="221"/>
      <c r="AI658" s="221"/>
    </row>
    <row r="659" ht="15.75" customHeight="1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  <c r="AB659" s="221"/>
      <c r="AC659" s="221"/>
      <c r="AD659" s="221"/>
      <c r="AE659" s="221"/>
      <c r="AF659" s="221"/>
      <c r="AG659" s="221"/>
      <c r="AH659" s="221"/>
      <c r="AI659" s="221"/>
    </row>
    <row r="660" ht="15.75" customHeight="1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  <c r="AB660" s="221"/>
      <c r="AC660" s="221"/>
      <c r="AD660" s="221"/>
      <c r="AE660" s="221"/>
      <c r="AF660" s="221"/>
      <c r="AG660" s="221"/>
      <c r="AH660" s="221"/>
      <c r="AI660" s="221"/>
    </row>
    <row r="661" ht="15.75" customHeight="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  <c r="AB661" s="221"/>
      <c r="AC661" s="221"/>
      <c r="AD661" s="221"/>
      <c r="AE661" s="221"/>
      <c r="AF661" s="221"/>
      <c r="AG661" s="221"/>
      <c r="AH661" s="221"/>
      <c r="AI661" s="221"/>
    </row>
    <row r="662" ht="15.75" customHeight="1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  <c r="AB662" s="221"/>
      <c r="AC662" s="221"/>
      <c r="AD662" s="221"/>
      <c r="AE662" s="221"/>
      <c r="AF662" s="221"/>
      <c r="AG662" s="221"/>
      <c r="AH662" s="221"/>
      <c r="AI662" s="221"/>
    </row>
    <row r="663" ht="15.75" customHeight="1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  <c r="AB663" s="221"/>
      <c r="AC663" s="221"/>
      <c r="AD663" s="221"/>
      <c r="AE663" s="221"/>
      <c r="AF663" s="221"/>
      <c r="AG663" s="221"/>
      <c r="AH663" s="221"/>
      <c r="AI663" s="221"/>
    </row>
    <row r="664" ht="15.75" customHeight="1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  <c r="AB664" s="221"/>
      <c r="AC664" s="221"/>
      <c r="AD664" s="221"/>
      <c r="AE664" s="221"/>
      <c r="AF664" s="221"/>
      <c r="AG664" s="221"/>
      <c r="AH664" s="221"/>
      <c r="AI664" s="221"/>
    </row>
    <row r="665" ht="15.75" customHeight="1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  <c r="AB665" s="221"/>
      <c r="AC665" s="221"/>
      <c r="AD665" s="221"/>
      <c r="AE665" s="221"/>
      <c r="AF665" s="221"/>
      <c r="AG665" s="221"/>
      <c r="AH665" s="221"/>
      <c r="AI665" s="221"/>
    </row>
    <row r="666" ht="15.75" customHeight="1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  <c r="AB666" s="221"/>
      <c r="AC666" s="221"/>
      <c r="AD666" s="221"/>
      <c r="AE666" s="221"/>
      <c r="AF666" s="221"/>
      <c r="AG666" s="221"/>
      <c r="AH666" s="221"/>
      <c r="AI666" s="221"/>
    </row>
    <row r="667" ht="15.75" customHeight="1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  <c r="AB667" s="221"/>
      <c r="AC667" s="221"/>
      <c r="AD667" s="221"/>
      <c r="AE667" s="221"/>
      <c r="AF667" s="221"/>
      <c r="AG667" s="221"/>
      <c r="AH667" s="221"/>
      <c r="AI667" s="221"/>
    </row>
    <row r="668" ht="15.75" customHeight="1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  <c r="AB668" s="221"/>
      <c r="AC668" s="221"/>
      <c r="AD668" s="221"/>
      <c r="AE668" s="221"/>
      <c r="AF668" s="221"/>
      <c r="AG668" s="221"/>
      <c r="AH668" s="221"/>
      <c r="AI668" s="221"/>
    </row>
    <row r="669" ht="15.75" customHeight="1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  <c r="AB669" s="221"/>
      <c r="AC669" s="221"/>
      <c r="AD669" s="221"/>
      <c r="AE669" s="221"/>
      <c r="AF669" s="221"/>
      <c r="AG669" s="221"/>
      <c r="AH669" s="221"/>
      <c r="AI669" s="221"/>
    </row>
    <row r="670" ht="15.75" customHeight="1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  <c r="AB670" s="221"/>
      <c r="AC670" s="221"/>
      <c r="AD670" s="221"/>
      <c r="AE670" s="221"/>
      <c r="AF670" s="221"/>
      <c r="AG670" s="221"/>
      <c r="AH670" s="221"/>
      <c r="AI670" s="221"/>
    </row>
    <row r="671" ht="15.75" customHeight="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  <c r="AB671" s="221"/>
      <c r="AC671" s="221"/>
      <c r="AD671" s="221"/>
      <c r="AE671" s="221"/>
      <c r="AF671" s="221"/>
      <c r="AG671" s="221"/>
      <c r="AH671" s="221"/>
      <c r="AI671" s="221"/>
    </row>
    <row r="672" ht="15.75" customHeight="1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  <c r="AB672" s="221"/>
      <c r="AC672" s="221"/>
      <c r="AD672" s="221"/>
      <c r="AE672" s="221"/>
      <c r="AF672" s="221"/>
      <c r="AG672" s="221"/>
      <c r="AH672" s="221"/>
      <c r="AI672" s="221"/>
    </row>
    <row r="673" ht="15.75" customHeight="1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  <c r="AB673" s="221"/>
      <c r="AC673" s="221"/>
      <c r="AD673" s="221"/>
      <c r="AE673" s="221"/>
      <c r="AF673" s="221"/>
      <c r="AG673" s="221"/>
      <c r="AH673" s="221"/>
      <c r="AI673" s="221"/>
    </row>
    <row r="674" ht="15.75" customHeight="1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  <c r="AB674" s="221"/>
      <c r="AC674" s="221"/>
      <c r="AD674" s="221"/>
      <c r="AE674" s="221"/>
      <c r="AF674" s="221"/>
      <c r="AG674" s="221"/>
      <c r="AH674" s="221"/>
      <c r="AI674" s="221"/>
    </row>
    <row r="675" ht="15.75" customHeight="1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  <c r="AB675" s="221"/>
      <c r="AC675" s="221"/>
      <c r="AD675" s="221"/>
      <c r="AE675" s="221"/>
      <c r="AF675" s="221"/>
      <c r="AG675" s="221"/>
      <c r="AH675" s="221"/>
      <c r="AI675" s="221"/>
    </row>
    <row r="676" ht="15.75" customHeight="1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  <c r="AB676" s="221"/>
      <c r="AC676" s="221"/>
      <c r="AD676" s="221"/>
      <c r="AE676" s="221"/>
      <c r="AF676" s="221"/>
      <c r="AG676" s="221"/>
      <c r="AH676" s="221"/>
      <c r="AI676" s="221"/>
    </row>
    <row r="677" ht="15.75" customHeight="1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  <c r="AB677" s="221"/>
      <c r="AC677" s="221"/>
      <c r="AD677" s="221"/>
      <c r="AE677" s="221"/>
      <c r="AF677" s="221"/>
      <c r="AG677" s="221"/>
      <c r="AH677" s="221"/>
      <c r="AI677" s="221"/>
    </row>
    <row r="678" ht="15.75" customHeight="1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  <c r="AB678" s="221"/>
      <c r="AC678" s="221"/>
      <c r="AD678" s="221"/>
      <c r="AE678" s="221"/>
      <c r="AF678" s="221"/>
      <c r="AG678" s="221"/>
      <c r="AH678" s="221"/>
      <c r="AI678" s="221"/>
    </row>
    <row r="679" ht="15.75" customHeight="1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  <c r="AB679" s="221"/>
      <c r="AC679" s="221"/>
      <c r="AD679" s="221"/>
      <c r="AE679" s="221"/>
      <c r="AF679" s="221"/>
      <c r="AG679" s="221"/>
      <c r="AH679" s="221"/>
      <c r="AI679" s="221"/>
    </row>
    <row r="680" ht="15.75" customHeight="1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  <c r="AB680" s="221"/>
      <c r="AC680" s="221"/>
      <c r="AD680" s="221"/>
      <c r="AE680" s="221"/>
      <c r="AF680" s="221"/>
      <c r="AG680" s="221"/>
      <c r="AH680" s="221"/>
      <c r="AI680" s="221"/>
    </row>
    <row r="681" ht="15.75" customHeight="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  <c r="AB681" s="221"/>
      <c r="AC681" s="221"/>
      <c r="AD681" s="221"/>
      <c r="AE681" s="221"/>
      <c r="AF681" s="221"/>
      <c r="AG681" s="221"/>
      <c r="AH681" s="221"/>
      <c r="AI681" s="221"/>
    </row>
    <row r="682" ht="15.75" customHeight="1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  <c r="AB682" s="221"/>
      <c r="AC682" s="221"/>
      <c r="AD682" s="221"/>
      <c r="AE682" s="221"/>
      <c r="AF682" s="221"/>
      <c r="AG682" s="221"/>
      <c r="AH682" s="221"/>
      <c r="AI682" s="221"/>
    </row>
    <row r="683" ht="15.75" customHeight="1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  <c r="AB683" s="221"/>
      <c r="AC683" s="221"/>
      <c r="AD683" s="221"/>
      <c r="AE683" s="221"/>
      <c r="AF683" s="221"/>
      <c r="AG683" s="221"/>
      <c r="AH683" s="221"/>
      <c r="AI683" s="221"/>
    </row>
    <row r="684" ht="15.75" customHeight="1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  <c r="AB684" s="221"/>
      <c r="AC684" s="221"/>
      <c r="AD684" s="221"/>
      <c r="AE684" s="221"/>
      <c r="AF684" s="221"/>
      <c r="AG684" s="221"/>
      <c r="AH684" s="221"/>
      <c r="AI684" s="221"/>
    </row>
    <row r="685" ht="15.75" customHeight="1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  <c r="AB685" s="221"/>
      <c r="AC685" s="221"/>
      <c r="AD685" s="221"/>
      <c r="AE685" s="221"/>
      <c r="AF685" s="221"/>
      <c r="AG685" s="221"/>
      <c r="AH685" s="221"/>
      <c r="AI685" s="221"/>
    </row>
    <row r="686" ht="15.75" customHeight="1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  <c r="AB686" s="221"/>
      <c r="AC686" s="221"/>
      <c r="AD686" s="221"/>
      <c r="AE686" s="221"/>
      <c r="AF686" s="221"/>
      <c r="AG686" s="221"/>
      <c r="AH686" s="221"/>
      <c r="AI686" s="221"/>
    </row>
    <row r="687" ht="15.75" customHeight="1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  <c r="AB687" s="221"/>
      <c r="AC687" s="221"/>
      <c r="AD687" s="221"/>
      <c r="AE687" s="221"/>
      <c r="AF687" s="221"/>
      <c r="AG687" s="221"/>
      <c r="AH687" s="221"/>
      <c r="AI687" s="221"/>
    </row>
    <row r="688" ht="15.75" customHeight="1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  <c r="AB688" s="221"/>
      <c r="AC688" s="221"/>
      <c r="AD688" s="221"/>
      <c r="AE688" s="221"/>
      <c r="AF688" s="221"/>
      <c r="AG688" s="221"/>
      <c r="AH688" s="221"/>
      <c r="AI688" s="221"/>
    </row>
    <row r="689" ht="15.75" customHeight="1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  <c r="AB689" s="221"/>
      <c r="AC689" s="221"/>
      <c r="AD689" s="221"/>
      <c r="AE689" s="221"/>
      <c r="AF689" s="221"/>
      <c r="AG689" s="221"/>
      <c r="AH689" s="221"/>
      <c r="AI689" s="221"/>
    </row>
    <row r="690" ht="15.75" customHeight="1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  <c r="AB690" s="221"/>
      <c r="AC690" s="221"/>
      <c r="AD690" s="221"/>
      <c r="AE690" s="221"/>
      <c r="AF690" s="221"/>
      <c r="AG690" s="221"/>
      <c r="AH690" s="221"/>
      <c r="AI690" s="221"/>
    </row>
    <row r="691" ht="15.75" customHeight="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  <c r="AB691" s="221"/>
      <c r="AC691" s="221"/>
      <c r="AD691" s="221"/>
      <c r="AE691" s="221"/>
      <c r="AF691" s="221"/>
      <c r="AG691" s="221"/>
      <c r="AH691" s="221"/>
      <c r="AI691" s="221"/>
    </row>
    <row r="692" ht="15.75" customHeight="1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  <c r="AB692" s="221"/>
      <c r="AC692" s="221"/>
      <c r="AD692" s="221"/>
      <c r="AE692" s="221"/>
      <c r="AF692" s="221"/>
      <c r="AG692" s="221"/>
      <c r="AH692" s="221"/>
      <c r="AI692" s="221"/>
    </row>
    <row r="693" ht="15.75" customHeight="1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  <c r="AB693" s="221"/>
      <c r="AC693" s="221"/>
      <c r="AD693" s="221"/>
      <c r="AE693" s="221"/>
      <c r="AF693" s="221"/>
      <c r="AG693" s="221"/>
      <c r="AH693" s="221"/>
      <c r="AI693" s="221"/>
    </row>
    <row r="694" ht="15.75" customHeight="1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  <c r="AB694" s="221"/>
      <c r="AC694" s="221"/>
      <c r="AD694" s="221"/>
      <c r="AE694" s="221"/>
      <c r="AF694" s="221"/>
      <c r="AG694" s="221"/>
      <c r="AH694" s="221"/>
      <c r="AI694" s="221"/>
    </row>
    <row r="695" ht="15.75" customHeight="1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  <c r="AB695" s="221"/>
      <c r="AC695" s="221"/>
      <c r="AD695" s="221"/>
      <c r="AE695" s="221"/>
      <c r="AF695" s="221"/>
      <c r="AG695" s="221"/>
      <c r="AH695" s="221"/>
      <c r="AI695" s="221"/>
    </row>
    <row r="696" ht="15.75" customHeight="1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  <c r="AB696" s="221"/>
      <c r="AC696" s="221"/>
      <c r="AD696" s="221"/>
      <c r="AE696" s="221"/>
      <c r="AF696" s="221"/>
      <c r="AG696" s="221"/>
      <c r="AH696" s="221"/>
      <c r="AI696" s="221"/>
    </row>
    <row r="697" ht="15.75" customHeight="1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  <c r="AB697" s="221"/>
      <c r="AC697" s="221"/>
      <c r="AD697" s="221"/>
      <c r="AE697" s="221"/>
      <c r="AF697" s="221"/>
      <c r="AG697" s="221"/>
      <c r="AH697" s="221"/>
      <c r="AI697" s="221"/>
    </row>
    <row r="698" ht="15.75" customHeight="1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  <c r="AB698" s="221"/>
      <c r="AC698" s="221"/>
      <c r="AD698" s="221"/>
      <c r="AE698" s="221"/>
      <c r="AF698" s="221"/>
      <c r="AG698" s="221"/>
      <c r="AH698" s="221"/>
      <c r="AI698" s="221"/>
    </row>
    <row r="699" ht="15.75" customHeight="1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  <c r="AB699" s="221"/>
      <c r="AC699" s="221"/>
      <c r="AD699" s="221"/>
      <c r="AE699" s="221"/>
      <c r="AF699" s="221"/>
      <c r="AG699" s="221"/>
      <c r="AH699" s="221"/>
      <c r="AI699" s="221"/>
    </row>
    <row r="700" ht="15.75" customHeight="1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  <c r="AB700" s="221"/>
      <c r="AC700" s="221"/>
      <c r="AD700" s="221"/>
      <c r="AE700" s="221"/>
      <c r="AF700" s="221"/>
      <c r="AG700" s="221"/>
      <c r="AH700" s="221"/>
      <c r="AI700" s="221"/>
    </row>
    <row r="701" ht="15.75" customHeight="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  <c r="AB701" s="221"/>
      <c r="AC701" s="221"/>
      <c r="AD701" s="221"/>
      <c r="AE701" s="221"/>
      <c r="AF701" s="221"/>
      <c r="AG701" s="221"/>
      <c r="AH701" s="221"/>
      <c r="AI701" s="221"/>
    </row>
    <row r="702" ht="15.75" customHeight="1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  <c r="AB702" s="221"/>
      <c r="AC702" s="221"/>
      <c r="AD702" s="221"/>
      <c r="AE702" s="221"/>
      <c r="AF702" s="221"/>
      <c r="AG702" s="221"/>
      <c r="AH702" s="221"/>
      <c r="AI702" s="221"/>
    </row>
    <row r="703" ht="15.75" customHeight="1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  <c r="AB703" s="221"/>
      <c r="AC703" s="221"/>
      <c r="AD703" s="221"/>
      <c r="AE703" s="221"/>
      <c r="AF703" s="221"/>
      <c r="AG703" s="221"/>
      <c r="AH703" s="221"/>
      <c r="AI703" s="221"/>
    </row>
    <row r="704" ht="15.75" customHeight="1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  <c r="AB704" s="221"/>
      <c r="AC704" s="221"/>
      <c r="AD704" s="221"/>
      <c r="AE704" s="221"/>
      <c r="AF704" s="221"/>
      <c r="AG704" s="221"/>
      <c r="AH704" s="221"/>
      <c r="AI704" s="221"/>
    </row>
    <row r="705" ht="15.75" customHeight="1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  <c r="AB705" s="221"/>
      <c r="AC705" s="221"/>
      <c r="AD705" s="221"/>
      <c r="AE705" s="221"/>
      <c r="AF705" s="221"/>
      <c r="AG705" s="221"/>
      <c r="AH705" s="221"/>
      <c r="AI705" s="221"/>
    </row>
    <row r="706" ht="15.75" customHeight="1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  <c r="AB706" s="221"/>
      <c r="AC706" s="221"/>
      <c r="AD706" s="221"/>
      <c r="AE706" s="221"/>
      <c r="AF706" s="221"/>
      <c r="AG706" s="221"/>
      <c r="AH706" s="221"/>
      <c r="AI706" s="221"/>
    </row>
    <row r="707" ht="15.75" customHeight="1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  <c r="AB707" s="221"/>
      <c r="AC707" s="221"/>
      <c r="AD707" s="221"/>
      <c r="AE707" s="221"/>
      <c r="AF707" s="221"/>
      <c r="AG707" s="221"/>
      <c r="AH707" s="221"/>
      <c r="AI707" s="221"/>
    </row>
    <row r="708" ht="15.75" customHeight="1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  <c r="AB708" s="221"/>
      <c r="AC708" s="221"/>
      <c r="AD708" s="221"/>
      <c r="AE708" s="221"/>
      <c r="AF708" s="221"/>
      <c r="AG708" s="221"/>
      <c r="AH708" s="221"/>
      <c r="AI708" s="221"/>
    </row>
    <row r="709" ht="15.75" customHeight="1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  <c r="AB709" s="221"/>
      <c r="AC709" s="221"/>
      <c r="AD709" s="221"/>
      <c r="AE709" s="221"/>
      <c r="AF709" s="221"/>
      <c r="AG709" s="221"/>
      <c r="AH709" s="221"/>
      <c r="AI709" s="221"/>
    </row>
    <row r="710" ht="15.75" customHeight="1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  <c r="AB710" s="221"/>
      <c r="AC710" s="221"/>
      <c r="AD710" s="221"/>
      <c r="AE710" s="221"/>
      <c r="AF710" s="221"/>
      <c r="AG710" s="221"/>
      <c r="AH710" s="221"/>
      <c r="AI710" s="221"/>
    </row>
    <row r="711" ht="15.75" customHeight="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  <c r="AB711" s="221"/>
      <c r="AC711" s="221"/>
      <c r="AD711" s="221"/>
      <c r="AE711" s="221"/>
      <c r="AF711" s="221"/>
      <c r="AG711" s="221"/>
      <c r="AH711" s="221"/>
      <c r="AI711" s="221"/>
    </row>
    <row r="712" ht="15.75" customHeight="1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  <c r="AB712" s="221"/>
      <c r="AC712" s="221"/>
      <c r="AD712" s="221"/>
      <c r="AE712" s="221"/>
      <c r="AF712" s="221"/>
      <c r="AG712" s="221"/>
      <c r="AH712" s="221"/>
      <c r="AI712" s="221"/>
    </row>
    <row r="713" ht="15.75" customHeight="1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  <c r="AB713" s="221"/>
      <c r="AC713" s="221"/>
      <c r="AD713" s="221"/>
      <c r="AE713" s="221"/>
      <c r="AF713" s="221"/>
      <c r="AG713" s="221"/>
      <c r="AH713" s="221"/>
      <c r="AI713" s="221"/>
    </row>
    <row r="714" ht="15.75" customHeight="1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  <c r="AB714" s="221"/>
      <c r="AC714" s="221"/>
      <c r="AD714" s="221"/>
      <c r="AE714" s="221"/>
      <c r="AF714" s="221"/>
      <c r="AG714" s="221"/>
      <c r="AH714" s="221"/>
      <c r="AI714" s="221"/>
    </row>
    <row r="715" ht="15.75" customHeight="1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  <c r="AB715" s="221"/>
      <c r="AC715" s="221"/>
      <c r="AD715" s="221"/>
      <c r="AE715" s="221"/>
      <c r="AF715" s="221"/>
      <c r="AG715" s="221"/>
      <c r="AH715" s="221"/>
      <c r="AI715" s="221"/>
    </row>
    <row r="716" ht="15.75" customHeight="1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  <c r="AB716" s="221"/>
      <c r="AC716" s="221"/>
      <c r="AD716" s="221"/>
      <c r="AE716" s="221"/>
      <c r="AF716" s="221"/>
      <c r="AG716" s="221"/>
      <c r="AH716" s="221"/>
      <c r="AI716" s="221"/>
    </row>
    <row r="717" ht="15.75" customHeight="1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  <c r="AB717" s="221"/>
      <c r="AC717" s="221"/>
      <c r="AD717" s="221"/>
      <c r="AE717" s="221"/>
      <c r="AF717" s="221"/>
      <c r="AG717" s="221"/>
      <c r="AH717" s="221"/>
      <c r="AI717" s="221"/>
    </row>
    <row r="718" ht="15.75" customHeight="1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  <c r="AB718" s="221"/>
      <c r="AC718" s="221"/>
      <c r="AD718" s="221"/>
      <c r="AE718" s="221"/>
      <c r="AF718" s="221"/>
      <c r="AG718" s="221"/>
      <c r="AH718" s="221"/>
      <c r="AI718" s="221"/>
    </row>
    <row r="719" ht="15.75" customHeight="1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  <c r="AB719" s="221"/>
      <c r="AC719" s="221"/>
      <c r="AD719" s="221"/>
      <c r="AE719" s="221"/>
      <c r="AF719" s="221"/>
      <c r="AG719" s="221"/>
      <c r="AH719" s="221"/>
      <c r="AI719" s="221"/>
    </row>
    <row r="720" ht="15.75" customHeight="1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  <c r="AB720" s="221"/>
      <c r="AC720" s="221"/>
      <c r="AD720" s="221"/>
      <c r="AE720" s="221"/>
      <c r="AF720" s="221"/>
      <c r="AG720" s="221"/>
      <c r="AH720" s="221"/>
      <c r="AI720" s="221"/>
    </row>
    <row r="721" ht="15.75" customHeight="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  <c r="AB721" s="221"/>
      <c r="AC721" s="221"/>
      <c r="AD721" s="221"/>
      <c r="AE721" s="221"/>
      <c r="AF721" s="221"/>
      <c r="AG721" s="221"/>
      <c r="AH721" s="221"/>
      <c r="AI721" s="221"/>
    </row>
    <row r="722" ht="15.75" customHeight="1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  <c r="AB722" s="221"/>
      <c r="AC722" s="221"/>
      <c r="AD722" s="221"/>
      <c r="AE722" s="221"/>
      <c r="AF722" s="221"/>
      <c r="AG722" s="221"/>
      <c r="AH722" s="221"/>
      <c r="AI722" s="221"/>
    </row>
    <row r="723" ht="15.75" customHeight="1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  <c r="AB723" s="221"/>
      <c r="AC723" s="221"/>
      <c r="AD723" s="221"/>
      <c r="AE723" s="221"/>
      <c r="AF723" s="221"/>
      <c r="AG723" s="221"/>
      <c r="AH723" s="221"/>
      <c r="AI723" s="221"/>
    </row>
    <row r="724" ht="15.75" customHeight="1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  <c r="AB724" s="221"/>
      <c r="AC724" s="221"/>
      <c r="AD724" s="221"/>
      <c r="AE724" s="221"/>
      <c r="AF724" s="221"/>
      <c r="AG724" s="221"/>
      <c r="AH724" s="221"/>
      <c r="AI724" s="221"/>
    </row>
    <row r="725" ht="15.75" customHeight="1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  <c r="AB725" s="221"/>
      <c r="AC725" s="221"/>
      <c r="AD725" s="221"/>
      <c r="AE725" s="221"/>
      <c r="AF725" s="221"/>
      <c r="AG725" s="221"/>
      <c r="AH725" s="221"/>
      <c r="AI725" s="221"/>
    </row>
    <row r="726" ht="15.75" customHeight="1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  <c r="AB726" s="221"/>
      <c r="AC726" s="221"/>
      <c r="AD726" s="221"/>
      <c r="AE726" s="221"/>
      <c r="AF726" s="221"/>
      <c r="AG726" s="221"/>
      <c r="AH726" s="221"/>
      <c r="AI726" s="221"/>
    </row>
    <row r="727" ht="15.75" customHeight="1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  <c r="AB727" s="221"/>
      <c r="AC727" s="221"/>
      <c r="AD727" s="221"/>
      <c r="AE727" s="221"/>
      <c r="AF727" s="221"/>
      <c r="AG727" s="221"/>
      <c r="AH727" s="221"/>
      <c r="AI727" s="221"/>
    </row>
    <row r="728" ht="15.75" customHeight="1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  <c r="AB728" s="221"/>
      <c r="AC728" s="221"/>
      <c r="AD728" s="221"/>
      <c r="AE728" s="221"/>
      <c r="AF728" s="221"/>
      <c r="AG728" s="221"/>
      <c r="AH728" s="221"/>
      <c r="AI728" s="221"/>
    </row>
    <row r="729" ht="15.75" customHeight="1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  <c r="AB729" s="221"/>
      <c r="AC729" s="221"/>
      <c r="AD729" s="221"/>
      <c r="AE729" s="221"/>
      <c r="AF729" s="221"/>
      <c r="AG729" s="221"/>
      <c r="AH729" s="221"/>
      <c r="AI729" s="221"/>
    </row>
    <row r="730" ht="15.75" customHeight="1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  <c r="AB730" s="221"/>
      <c r="AC730" s="221"/>
      <c r="AD730" s="221"/>
      <c r="AE730" s="221"/>
      <c r="AF730" s="221"/>
      <c r="AG730" s="221"/>
      <c r="AH730" s="221"/>
      <c r="AI730" s="221"/>
    </row>
    <row r="731" ht="15.75" customHeight="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  <c r="AB731" s="221"/>
      <c r="AC731" s="221"/>
      <c r="AD731" s="221"/>
      <c r="AE731" s="221"/>
      <c r="AF731" s="221"/>
      <c r="AG731" s="221"/>
      <c r="AH731" s="221"/>
      <c r="AI731" s="221"/>
    </row>
    <row r="732" ht="15.75" customHeight="1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  <c r="AB732" s="221"/>
      <c r="AC732" s="221"/>
      <c r="AD732" s="221"/>
      <c r="AE732" s="221"/>
      <c r="AF732" s="221"/>
      <c r="AG732" s="221"/>
      <c r="AH732" s="221"/>
      <c r="AI732" s="221"/>
    </row>
    <row r="733" ht="15.75" customHeight="1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  <c r="AB733" s="221"/>
      <c r="AC733" s="221"/>
      <c r="AD733" s="221"/>
      <c r="AE733" s="221"/>
      <c r="AF733" s="221"/>
      <c r="AG733" s="221"/>
      <c r="AH733" s="221"/>
      <c r="AI733" s="221"/>
    </row>
    <row r="734" ht="15.75" customHeight="1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  <c r="AB734" s="221"/>
      <c r="AC734" s="221"/>
      <c r="AD734" s="221"/>
      <c r="AE734" s="221"/>
      <c r="AF734" s="221"/>
      <c r="AG734" s="221"/>
      <c r="AH734" s="221"/>
      <c r="AI734" s="221"/>
    </row>
    <row r="735" ht="15.75" customHeight="1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  <c r="AB735" s="221"/>
      <c r="AC735" s="221"/>
      <c r="AD735" s="221"/>
      <c r="AE735" s="221"/>
      <c r="AF735" s="221"/>
      <c r="AG735" s="221"/>
      <c r="AH735" s="221"/>
      <c r="AI735" s="221"/>
    </row>
    <row r="736" ht="15.75" customHeight="1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  <c r="AB736" s="221"/>
      <c r="AC736" s="221"/>
      <c r="AD736" s="221"/>
      <c r="AE736" s="221"/>
      <c r="AF736" s="221"/>
      <c r="AG736" s="221"/>
      <c r="AH736" s="221"/>
      <c r="AI736" s="221"/>
    </row>
    <row r="737" ht="15.75" customHeight="1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  <c r="AB737" s="221"/>
      <c r="AC737" s="221"/>
      <c r="AD737" s="221"/>
      <c r="AE737" s="221"/>
      <c r="AF737" s="221"/>
      <c r="AG737" s="221"/>
      <c r="AH737" s="221"/>
      <c r="AI737" s="221"/>
    </row>
    <row r="738" ht="15.75" customHeight="1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  <c r="AB738" s="221"/>
      <c r="AC738" s="221"/>
      <c r="AD738" s="221"/>
      <c r="AE738" s="221"/>
      <c r="AF738" s="221"/>
      <c r="AG738" s="221"/>
      <c r="AH738" s="221"/>
      <c r="AI738" s="221"/>
    </row>
    <row r="739" ht="15.75" customHeight="1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  <c r="AB739" s="221"/>
      <c r="AC739" s="221"/>
      <c r="AD739" s="221"/>
      <c r="AE739" s="221"/>
      <c r="AF739" s="221"/>
      <c r="AG739" s="221"/>
      <c r="AH739" s="221"/>
      <c r="AI739" s="221"/>
    </row>
    <row r="740" ht="15.75" customHeight="1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  <c r="AB740" s="221"/>
      <c r="AC740" s="221"/>
      <c r="AD740" s="221"/>
      <c r="AE740" s="221"/>
      <c r="AF740" s="221"/>
      <c r="AG740" s="221"/>
      <c r="AH740" s="221"/>
      <c r="AI740" s="221"/>
    </row>
    <row r="741" ht="15.75" customHeight="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  <c r="AB741" s="221"/>
      <c r="AC741" s="221"/>
      <c r="AD741" s="221"/>
      <c r="AE741" s="221"/>
      <c r="AF741" s="221"/>
      <c r="AG741" s="221"/>
      <c r="AH741" s="221"/>
      <c r="AI741" s="221"/>
    </row>
    <row r="742" ht="15.75" customHeight="1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  <c r="AB742" s="221"/>
      <c r="AC742" s="221"/>
      <c r="AD742" s="221"/>
      <c r="AE742" s="221"/>
      <c r="AF742" s="221"/>
      <c r="AG742" s="221"/>
      <c r="AH742" s="221"/>
      <c r="AI742" s="221"/>
    </row>
    <row r="743" ht="15.75" customHeight="1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  <c r="AB743" s="221"/>
      <c r="AC743" s="221"/>
      <c r="AD743" s="221"/>
      <c r="AE743" s="221"/>
      <c r="AF743" s="221"/>
      <c r="AG743" s="221"/>
      <c r="AH743" s="221"/>
      <c r="AI743" s="221"/>
    </row>
    <row r="744" ht="15.75" customHeight="1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  <c r="AB744" s="221"/>
      <c r="AC744" s="221"/>
      <c r="AD744" s="221"/>
      <c r="AE744" s="221"/>
      <c r="AF744" s="221"/>
      <c r="AG744" s="221"/>
      <c r="AH744" s="221"/>
      <c r="AI744" s="221"/>
    </row>
    <row r="745" ht="15.75" customHeight="1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  <c r="AB745" s="221"/>
      <c r="AC745" s="221"/>
      <c r="AD745" s="221"/>
      <c r="AE745" s="221"/>
      <c r="AF745" s="221"/>
      <c r="AG745" s="221"/>
      <c r="AH745" s="221"/>
      <c r="AI745" s="221"/>
    </row>
    <row r="746" ht="15.75" customHeight="1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  <c r="AB746" s="221"/>
      <c r="AC746" s="221"/>
      <c r="AD746" s="221"/>
      <c r="AE746" s="221"/>
      <c r="AF746" s="221"/>
      <c r="AG746" s="221"/>
      <c r="AH746" s="221"/>
      <c r="AI746" s="221"/>
    </row>
    <row r="747" ht="15.75" customHeight="1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  <c r="AB747" s="221"/>
      <c r="AC747" s="221"/>
      <c r="AD747" s="221"/>
      <c r="AE747" s="221"/>
      <c r="AF747" s="221"/>
      <c r="AG747" s="221"/>
      <c r="AH747" s="221"/>
      <c r="AI747" s="221"/>
    </row>
    <row r="748" ht="15.75" customHeight="1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  <c r="AB748" s="221"/>
      <c r="AC748" s="221"/>
      <c r="AD748" s="221"/>
      <c r="AE748" s="221"/>
      <c r="AF748" s="221"/>
      <c r="AG748" s="221"/>
      <c r="AH748" s="221"/>
      <c r="AI748" s="221"/>
    </row>
    <row r="749" ht="15.75" customHeight="1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  <c r="AB749" s="221"/>
      <c r="AC749" s="221"/>
      <c r="AD749" s="221"/>
      <c r="AE749" s="221"/>
      <c r="AF749" s="221"/>
      <c r="AG749" s="221"/>
      <c r="AH749" s="221"/>
      <c r="AI749" s="221"/>
    </row>
    <row r="750" ht="15.75" customHeight="1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  <c r="AB750" s="221"/>
      <c r="AC750" s="221"/>
      <c r="AD750" s="221"/>
      <c r="AE750" s="221"/>
      <c r="AF750" s="221"/>
      <c r="AG750" s="221"/>
      <c r="AH750" s="221"/>
      <c r="AI750" s="221"/>
    </row>
    <row r="751" ht="15.75" customHeight="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  <c r="AB751" s="221"/>
      <c r="AC751" s="221"/>
      <c r="AD751" s="221"/>
      <c r="AE751" s="221"/>
      <c r="AF751" s="221"/>
      <c r="AG751" s="221"/>
      <c r="AH751" s="221"/>
      <c r="AI751" s="221"/>
    </row>
    <row r="752" ht="15.75" customHeight="1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  <c r="AB752" s="221"/>
      <c r="AC752" s="221"/>
      <c r="AD752" s="221"/>
      <c r="AE752" s="221"/>
      <c r="AF752" s="221"/>
      <c r="AG752" s="221"/>
      <c r="AH752" s="221"/>
      <c r="AI752" s="221"/>
    </row>
    <row r="753" ht="15.75" customHeight="1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  <c r="AB753" s="221"/>
      <c r="AC753" s="221"/>
      <c r="AD753" s="221"/>
      <c r="AE753" s="221"/>
      <c r="AF753" s="221"/>
      <c r="AG753" s="221"/>
      <c r="AH753" s="221"/>
      <c r="AI753" s="221"/>
    </row>
    <row r="754" ht="15.75" customHeight="1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  <c r="AB754" s="221"/>
      <c r="AC754" s="221"/>
      <c r="AD754" s="221"/>
      <c r="AE754" s="221"/>
      <c r="AF754" s="221"/>
      <c r="AG754" s="221"/>
      <c r="AH754" s="221"/>
      <c r="AI754" s="221"/>
    </row>
    <row r="755" ht="15.75" customHeight="1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  <c r="AB755" s="221"/>
      <c r="AC755" s="221"/>
      <c r="AD755" s="221"/>
      <c r="AE755" s="221"/>
      <c r="AF755" s="221"/>
      <c r="AG755" s="221"/>
      <c r="AH755" s="221"/>
      <c r="AI755" s="221"/>
    </row>
    <row r="756" ht="15.75" customHeight="1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  <c r="AB756" s="221"/>
      <c r="AC756" s="221"/>
      <c r="AD756" s="221"/>
      <c r="AE756" s="221"/>
      <c r="AF756" s="221"/>
      <c r="AG756" s="221"/>
      <c r="AH756" s="221"/>
      <c r="AI756" s="221"/>
    </row>
    <row r="757" ht="15.75" customHeight="1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  <c r="AB757" s="221"/>
      <c r="AC757" s="221"/>
      <c r="AD757" s="221"/>
      <c r="AE757" s="221"/>
      <c r="AF757" s="221"/>
      <c r="AG757" s="221"/>
      <c r="AH757" s="221"/>
      <c r="AI757" s="221"/>
    </row>
    <row r="758" ht="15.75" customHeight="1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  <c r="AB758" s="221"/>
      <c r="AC758" s="221"/>
      <c r="AD758" s="221"/>
      <c r="AE758" s="221"/>
      <c r="AF758" s="221"/>
      <c r="AG758" s="221"/>
      <c r="AH758" s="221"/>
      <c r="AI758" s="221"/>
    </row>
    <row r="759" ht="15.75" customHeight="1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  <c r="AB759" s="221"/>
      <c r="AC759" s="221"/>
      <c r="AD759" s="221"/>
      <c r="AE759" s="221"/>
      <c r="AF759" s="221"/>
      <c r="AG759" s="221"/>
      <c r="AH759" s="221"/>
      <c r="AI759" s="221"/>
    </row>
    <row r="760" ht="15.75" customHeight="1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  <c r="AB760" s="221"/>
      <c r="AC760" s="221"/>
      <c r="AD760" s="221"/>
      <c r="AE760" s="221"/>
      <c r="AF760" s="221"/>
      <c r="AG760" s="221"/>
      <c r="AH760" s="221"/>
      <c r="AI760" s="221"/>
    </row>
    <row r="761" ht="15.75" customHeight="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  <c r="AB761" s="221"/>
      <c r="AC761" s="221"/>
      <c r="AD761" s="221"/>
      <c r="AE761" s="221"/>
      <c r="AF761" s="221"/>
      <c r="AG761" s="221"/>
      <c r="AH761" s="221"/>
      <c r="AI761" s="221"/>
    </row>
    <row r="762" ht="15.75" customHeight="1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  <c r="AB762" s="221"/>
      <c r="AC762" s="221"/>
      <c r="AD762" s="221"/>
      <c r="AE762" s="221"/>
      <c r="AF762" s="221"/>
      <c r="AG762" s="221"/>
      <c r="AH762" s="221"/>
      <c r="AI762" s="221"/>
    </row>
    <row r="763" ht="15.75" customHeight="1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  <c r="AB763" s="221"/>
      <c r="AC763" s="221"/>
      <c r="AD763" s="221"/>
      <c r="AE763" s="221"/>
      <c r="AF763" s="221"/>
      <c r="AG763" s="221"/>
      <c r="AH763" s="221"/>
      <c r="AI763" s="221"/>
    </row>
    <row r="764" ht="15.75" customHeight="1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  <c r="AB764" s="221"/>
      <c r="AC764" s="221"/>
      <c r="AD764" s="221"/>
      <c r="AE764" s="221"/>
      <c r="AF764" s="221"/>
      <c r="AG764" s="221"/>
      <c r="AH764" s="221"/>
      <c r="AI764" s="221"/>
    </row>
    <row r="765" ht="15.75" customHeight="1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  <c r="AB765" s="221"/>
      <c r="AC765" s="221"/>
      <c r="AD765" s="221"/>
      <c r="AE765" s="221"/>
      <c r="AF765" s="221"/>
      <c r="AG765" s="221"/>
      <c r="AH765" s="221"/>
      <c r="AI765" s="221"/>
    </row>
    <row r="766" ht="15.75" customHeight="1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  <c r="AB766" s="221"/>
      <c r="AC766" s="221"/>
      <c r="AD766" s="221"/>
      <c r="AE766" s="221"/>
      <c r="AF766" s="221"/>
      <c r="AG766" s="221"/>
      <c r="AH766" s="221"/>
      <c r="AI766" s="221"/>
    </row>
    <row r="767" ht="15.75" customHeight="1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  <c r="AB767" s="221"/>
      <c r="AC767" s="221"/>
      <c r="AD767" s="221"/>
      <c r="AE767" s="221"/>
      <c r="AF767" s="221"/>
      <c r="AG767" s="221"/>
      <c r="AH767" s="221"/>
      <c r="AI767" s="221"/>
    </row>
    <row r="768" ht="15.75" customHeight="1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  <c r="AB768" s="221"/>
      <c r="AC768" s="221"/>
      <c r="AD768" s="221"/>
      <c r="AE768" s="221"/>
      <c r="AF768" s="221"/>
      <c r="AG768" s="221"/>
      <c r="AH768" s="221"/>
      <c r="AI768" s="221"/>
    </row>
    <row r="769" ht="15.75" customHeight="1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  <c r="AB769" s="221"/>
      <c r="AC769" s="221"/>
      <c r="AD769" s="221"/>
      <c r="AE769" s="221"/>
      <c r="AF769" s="221"/>
      <c r="AG769" s="221"/>
      <c r="AH769" s="221"/>
      <c r="AI769" s="221"/>
    </row>
    <row r="770" ht="15.75" customHeight="1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  <c r="AB770" s="221"/>
      <c r="AC770" s="221"/>
      <c r="AD770" s="221"/>
      <c r="AE770" s="221"/>
      <c r="AF770" s="221"/>
      <c r="AG770" s="221"/>
      <c r="AH770" s="221"/>
      <c r="AI770" s="221"/>
    </row>
    <row r="771" ht="15.75" customHeight="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  <c r="AB771" s="221"/>
      <c r="AC771" s="221"/>
      <c r="AD771" s="221"/>
      <c r="AE771" s="221"/>
      <c r="AF771" s="221"/>
      <c r="AG771" s="221"/>
      <c r="AH771" s="221"/>
      <c r="AI771" s="221"/>
    </row>
    <row r="772" ht="15.75" customHeight="1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  <c r="AB772" s="221"/>
      <c r="AC772" s="221"/>
      <c r="AD772" s="221"/>
      <c r="AE772" s="221"/>
      <c r="AF772" s="221"/>
      <c r="AG772" s="221"/>
      <c r="AH772" s="221"/>
      <c r="AI772" s="221"/>
    </row>
    <row r="773" ht="15.75" customHeight="1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  <c r="AB773" s="221"/>
      <c r="AC773" s="221"/>
      <c r="AD773" s="221"/>
      <c r="AE773" s="221"/>
      <c r="AF773" s="221"/>
      <c r="AG773" s="221"/>
      <c r="AH773" s="221"/>
      <c r="AI773" s="221"/>
    </row>
    <row r="774" ht="15.75" customHeight="1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  <c r="AB774" s="221"/>
      <c r="AC774" s="221"/>
      <c r="AD774" s="221"/>
      <c r="AE774" s="221"/>
      <c r="AF774" s="221"/>
      <c r="AG774" s="221"/>
      <c r="AH774" s="221"/>
      <c r="AI774" s="221"/>
    </row>
    <row r="775" ht="15.75" customHeight="1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  <c r="AB775" s="221"/>
      <c r="AC775" s="221"/>
      <c r="AD775" s="221"/>
      <c r="AE775" s="221"/>
      <c r="AF775" s="221"/>
      <c r="AG775" s="221"/>
      <c r="AH775" s="221"/>
      <c r="AI775" s="221"/>
    </row>
    <row r="776" ht="15.75" customHeight="1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  <c r="AB776" s="221"/>
      <c r="AC776" s="221"/>
      <c r="AD776" s="221"/>
      <c r="AE776" s="221"/>
      <c r="AF776" s="221"/>
      <c r="AG776" s="221"/>
      <c r="AH776" s="221"/>
      <c r="AI776" s="221"/>
    </row>
    <row r="777" ht="15.75" customHeight="1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  <c r="AB777" s="221"/>
      <c r="AC777" s="221"/>
      <c r="AD777" s="221"/>
      <c r="AE777" s="221"/>
      <c r="AF777" s="221"/>
      <c r="AG777" s="221"/>
      <c r="AH777" s="221"/>
      <c r="AI777" s="221"/>
    </row>
    <row r="778" ht="15.75" customHeight="1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  <c r="AB778" s="221"/>
      <c r="AC778" s="221"/>
      <c r="AD778" s="221"/>
      <c r="AE778" s="221"/>
      <c r="AF778" s="221"/>
      <c r="AG778" s="221"/>
      <c r="AH778" s="221"/>
      <c r="AI778" s="221"/>
    </row>
    <row r="779" ht="15.75" customHeight="1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  <c r="AB779" s="221"/>
      <c r="AC779" s="221"/>
      <c r="AD779" s="221"/>
      <c r="AE779" s="221"/>
      <c r="AF779" s="221"/>
      <c r="AG779" s="221"/>
      <c r="AH779" s="221"/>
      <c r="AI779" s="221"/>
    </row>
    <row r="780" ht="15.75" customHeight="1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  <c r="AB780" s="221"/>
      <c r="AC780" s="221"/>
      <c r="AD780" s="221"/>
      <c r="AE780" s="221"/>
      <c r="AF780" s="221"/>
      <c r="AG780" s="221"/>
      <c r="AH780" s="221"/>
      <c r="AI780" s="221"/>
    </row>
    <row r="781" ht="15.75" customHeight="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  <c r="AB781" s="221"/>
      <c r="AC781" s="221"/>
      <c r="AD781" s="221"/>
      <c r="AE781" s="221"/>
      <c r="AF781" s="221"/>
      <c r="AG781" s="221"/>
      <c r="AH781" s="221"/>
      <c r="AI781" s="221"/>
    </row>
    <row r="782" ht="15.75" customHeight="1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  <c r="AB782" s="221"/>
      <c r="AC782" s="221"/>
      <c r="AD782" s="221"/>
      <c r="AE782" s="221"/>
      <c r="AF782" s="221"/>
      <c r="AG782" s="221"/>
      <c r="AH782" s="221"/>
      <c r="AI782" s="221"/>
    </row>
    <row r="783" ht="15.75" customHeight="1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  <c r="AB783" s="221"/>
      <c r="AC783" s="221"/>
      <c r="AD783" s="221"/>
      <c r="AE783" s="221"/>
      <c r="AF783" s="221"/>
      <c r="AG783" s="221"/>
      <c r="AH783" s="221"/>
      <c r="AI783" s="221"/>
    </row>
    <row r="784" ht="15.75" customHeight="1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  <c r="AB784" s="221"/>
      <c r="AC784" s="221"/>
      <c r="AD784" s="221"/>
      <c r="AE784" s="221"/>
      <c r="AF784" s="221"/>
      <c r="AG784" s="221"/>
      <c r="AH784" s="221"/>
      <c r="AI784" s="221"/>
    </row>
    <row r="785" ht="15.75" customHeight="1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  <c r="AB785" s="221"/>
      <c r="AC785" s="221"/>
      <c r="AD785" s="221"/>
      <c r="AE785" s="221"/>
      <c r="AF785" s="221"/>
      <c r="AG785" s="221"/>
      <c r="AH785" s="221"/>
      <c r="AI785" s="221"/>
    </row>
    <row r="786" ht="15.75" customHeight="1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  <c r="AB786" s="221"/>
      <c r="AC786" s="221"/>
      <c r="AD786" s="221"/>
      <c r="AE786" s="221"/>
      <c r="AF786" s="221"/>
      <c r="AG786" s="221"/>
      <c r="AH786" s="221"/>
      <c r="AI786" s="221"/>
    </row>
    <row r="787" ht="15.75" customHeight="1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  <c r="AB787" s="221"/>
      <c r="AC787" s="221"/>
      <c r="AD787" s="221"/>
      <c r="AE787" s="221"/>
      <c r="AF787" s="221"/>
      <c r="AG787" s="221"/>
      <c r="AH787" s="221"/>
      <c r="AI787" s="221"/>
    </row>
    <row r="788" ht="15.75" customHeight="1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  <c r="AB788" s="221"/>
      <c r="AC788" s="221"/>
      <c r="AD788" s="221"/>
      <c r="AE788" s="221"/>
      <c r="AF788" s="221"/>
      <c r="AG788" s="221"/>
      <c r="AH788" s="221"/>
      <c r="AI788" s="221"/>
    </row>
    <row r="789" ht="15.75" customHeight="1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  <c r="AB789" s="221"/>
      <c r="AC789" s="221"/>
      <c r="AD789" s="221"/>
      <c r="AE789" s="221"/>
      <c r="AF789" s="221"/>
      <c r="AG789" s="221"/>
      <c r="AH789" s="221"/>
      <c r="AI789" s="221"/>
    </row>
    <row r="790" ht="15.75" customHeight="1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  <c r="AB790" s="221"/>
      <c r="AC790" s="221"/>
      <c r="AD790" s="221"/>
      <c r="AE790" s="221"/>
      <c r="AF790" s="221"/>
      <c r="AG790" s="221"/>
      <c r="AH790" s="221"/>
      <c r="AI790" s="221"/>
    </row>
    <row r="791" ht="15.75" customHeight="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  <c r="AB791" s="221"/>
      <c r="AC791" s="221"/>
      <c r="AD791" s="221"/>
      <c r="AE791" s="221"/>
      <c r="AF791" s="221"/>
      <c r="AG791" s="221"/>
      <c r="AH791" s="221"/>
      <c r="AI791" s="221"/>
    </row>
    <row r="792" ht="15.75" customHeight="1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  <c r="AB792" s="221"/>
      <c r="AC792" s="221"/>
      <c r="AD792" s="221"/>
      <c r="AE792" s="221"/>
      <c r="AF792" s="221"/>
      <c r="AG792" s="221"/>
      <c r="AH792" s="221"/>
      <c r="AI792" s="221"/>
    </row>
    <row r="793" ht="15.75" customHeight="1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  <c r="AB793" s="221"/>
      <c r="AC793" s="221"/>
      <c r="AD793" s="221"/>
      <c r="AE793" s="221"/>
      <c r="AF793" s="221"/>
      <c r="AG793" s="221"/>
      <c r="AH793" s="221"/>
      <c r="AI793" s="221"/>
    </row>
    <row r="794" ht="15.75" customHeight="1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  <c r="AB794" s="221"/>
      <c r="AC794" s="221"/>
      <c r="AD794" s="221"/>
      <c r="AE794" s="221"/>
      <c r="AF794" s="221"/>
      <c r="AG794" s="221"/>
      <c r="AH794" s="221"/>
      <c r="AI794" s="221"/>
    </row>
    <row r="795" ht="15.75" customHeight="1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  <c r="AB795" s="221"/>
      <c r="AC795" s="221"/>
      <c r="AD795" s="221"/>
      <c r="AE795" s="221"/>
      <c r="AF795" s="221"/>
      <c r="AG795" s="221"/>
      <c r="AH795" s="221"/>
      <c r="AI795" s="221"/>
    </row>
    <row r="796" ht="15.75" customHeight="1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  <c r="AB796" s="221"/>
      <c r="AC796" s="221"/>
      <c r="AD796" s="221"/>
      <c r="AE796" s="221"/>
      <c r="AF796" s="221"/>
      <c r="AG796" s="221"/>
      <c r="AH796" s="221"/>
      <c r="AI796" s="221"/>
    </row>
    <row r="797" ht="15.75" customHeight="1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  <c r="AB797" s="221"/>
      <c r="AC797" s="221"/>
      <c r="AD797" s="221"/>
      <c r="AE797" s="221"/>
      <c r="AF797" s="221"/>
      <c r="AG797" s="221"/>
      <c r="AH797" s="221"/>
      <c r="AI797" s="221"/>
    </row>
    <row r="798" ht="15.75" customHeight="1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  <c r="AB798" s="221"/>
      <c r="AC798" s="221"/>
      <c r="AD798" s="221"/>
      <c r="AE798" s="221"/>
      <c r="AF798" s="221"/>
      <c r="AG798" s="221"/>
      <c r="AH798" s="221"/>
      <c r="AI798" s="221"/>
    </row>
    <row r="799" ht="15.75" customHeight="1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  <c r="AB799" s="221"/>
      <c r="AC799" s="221"/>
      <c r="AD799" s="221"/>
      <c r="AE799" s="221"/>
      <c r="AF799" s="221"/>
      <c r="AG799" s="221"/>
      <c r="AH799" s="221"/>
      <c r="AI799" s="221"/>
    </row>
    <row r="800" ht="15.75" customHeight="1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  <c r="AB800" s="221"/>
      <c r="AC800" s="221"/>
      <c r="AD800" s="221"/>
      <c r="AE800" s="221"/>
      <c r="AF800" s="221"/>
      <c r="AG800" s="221"/>
      <c r="AH800" s="221"/>
      <c r="AI800" s="221"/>
    </row>
    <row r="801" ht="15.75" customHeight="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  <c r="AB801" s="221"/>
      <c r="AC801" s="221"/>
      <c r="AD801" s="221"/>
      <c r="AE801" s="221"/>
      <c r="AF801" s="221"/>
      <c r="AG801" s="221"/>
      <c r="AH801" s="221"/>
      <c r="AI801" s="221"/>
    </row>
    <row r="802" ht="15.75" customHeight="1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  <c r="AB802" s="221"/>
      <c r="AC802" s="221"/>
      <c r="AD802" s="221"/>
      <c r="AE802" s="221"/>
      <c r="AF802" s="221"/>
      <c r="AG802" s="221"/>
      <c r="AH802" s="221"/>
      <c r="AI802" s="221"/>
    </row>
    <row r="803" ht="15.75" customHeight="1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  <c r="AB803" s="221"/>
      <c r="AC803" s="221"/>
      <c r="AD803" s="221"/>
      <c r="AE803" s="221"/>
      <c r="AF803" s="221"/>
      <c r="AG803" s="221"/>
      <c r="AH803" s="221"/>
      <c r="AI803" s="221"/>
    </row>
    <row r="804" ht="15.75" customHeight="1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  <c r="AB804" s="221"/>
      <c r="AC804" s="221"/>
      <c r="AD804" s="221"/>
      <c r="AE804" s="221"/>
      <c r="AF804" s="221"/>
      <c r="AG804" s="221"/>
      <c r="AH804" s="221"/>
      <c r="AI804" s="221"/>
    </row>
    <row r="805" ht="15.75" customHeight="1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  <c r="AB805" s="221"/>
      <c r="AC805" s="221"/>
      <c r="AD805" s="221"/>
      <c r="AE805" s="221"/>
      <c r="AF805" s="221"/>
      <c r="AG805" s="221"/>
      <c r="AH805" s="221"/>
      <c r="AI805" s="221"/>
    </row>
    <row r="806" ht="15.75" customHeight="1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  <c r="AB806" s="221"/>
      <c r="AC806" s="221"/>
      <c r="AD806" s="221"/>
      <c r="AE806" s="221"/>
      <c r="AF806" s="221"/>
      <c r="AG806" s="221"/>
      <c r="AH806" s="221"/>
      <c r="AI806" s="221"/>
    </row>
    <row r="807" ht="15.75" customHeight="1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  <c r="AB807" s="221"/>
      <c r="AC807" s="221"/>
      <c r="AD807" s="221"/>
      <c r="AE807" s="221"/>
      <c r="AF807" s="221"/>
      <c r="AG807" s="221"/>
      <c r="AH807" s="221"/>
      <c r="AI807" s="221"/>
    </row>
    <row r="808" ht="15.75" customHeight="1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  <c r="AB808" s="221"/>
      <c r="AC808" s="221"/>
      <c r="AD808" s="221"/>
      <c r="AE808" s="221"/>
      <c r="AF808" s="221"/>
      <c r="AG808" s="221"/>
      <c r="AH808" s="221"/>
      <c r="AI808" s="221"/>
    </row>
    <row r="809" ht="15.75" customHeight="1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  <c r="AB809" s="221"/>
      <c r="AC809" s="221"/>
      <c r="AD809" s="221"/>
      <c r="AE809" s="221"/>
      <c r="AF809" s="221"/>
      <c r="AG809" s="221"/>
      <c r="AH809" s="221"/>
      <c r="AI809" s="221"/>
    </row>
    <row r="810" ht="15.75" customHeight="1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  <c r="AB810" s="221"/>
      <c r="AC810" s="221"/>
      <c r="AD810" s="221"/>
      <c r="AE810" s="221"/>
      <c r="AF810" s="221"/>
      <c r="AG810" s="221"/>
      <c r="AH810" s="221"/>
      <c r="AI810" s="221"/>
    </row>
    <row r="811" ht="15.75" customHeight="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  <c r="AB811" s="221"/>
      <c r="AC811" s="221"/>
      <c r="AD811" s="221"/>
      <c r="AE811" s="221"/>
      <c r="AF811" s="221"/>
      <c r="AG811" s="221"/>
      <c r="AH811" s="221"/>
      <c r="AI811" s="221"/>
    </row>
    <row r="812" ht="15.75" customHeight="1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  <c r="AB812" s="221"/>
      <c r="AC812" s="221"/>
      <c r="AD812" s="221"/>
      <c r="AE812" s="221"/>
      <c r="AF812" s="221"/>
      <c r="AG812" s="221"/>
      <c r="AH812" s="221"/>
      <c r="AI812" s="221"/>
    </row>
    <row r="813" ht="15.75" customHeight="1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  <c r="AB813" s="221"/>
      <c r="AC813" s="221"/>
      <c r="AD813" s="221"/>
      <c r="AE813" s="221"/>
      <c r="AF813" s="221"/>
      <c r="AG813" s="221"/>
      <c r="AH813" s="221"/>
      <c r="AI813" s="221"/>
    </row>
    <row r="814" ht="15.75" customHeight="1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  <c r="AB814" s="221"/>
      <c r="AC814" s="221"/>
      <c r="AD814" s="221"/>
      <c r="AE814" s="221"/>
      <c r="AF814" s="221"/>
      <c r="AG814" s="221"/>
      <c r="AH814" s="221"/>
      <c r="AI814" s="221"/>
    </row>
    <row r="815" ht="15.75" customHeight="1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  <c r="AB815" s="221"/>
      <c r="AC815" s="221"/>
      <c r="AD815" s="221"/>
      <c r="AE815" s="221"/>
      <c r="AF815" s="221"/>
      <c r="AG815" s="221"/>
      <c r="AH815" s="221"/>
      <c r="AI815" s="221"/>
    </row>
    <row r="816" ht="15.75" customHeight="1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  <c r="AB816" s="221"/>
      <c r="AC816" s="221"/>
      <c r="AD816" s="221"/>
      <c r="AE816" s="221"/>
      <c r="AF816" s="221"/>
      <c r="AG816" s="221"/>
      <c r="AH816" s="221"/>
      <c r="AI816" s="221"/>
    </row>
    <row r="817" ht="15.75" customHeight="1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  <c r="AB817" s="221"/>
      <c r="AC817" s="221"/>
      <c r="AD817" s="221"/>
      <c r="AE817" s="221"/>
      <c r="AF817" s="221"/>
      <c r="AG817" s="221"/>
      <c r="AH817" s="221"/>
      <c r="AI817" s="221"/>
    </row>
    <row r="818" ht="15.75" customHeight="1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  <c r="AB818" s="221"/>
      <c r="AC818" s="221"/>
      <c r="AD818" s="221"/>
      <c r="AE818" s="221"/>
      <c r="AF818" s="221"/>
      <c r="AG818" s="221"/>
      <c r="AH818" s="221"/>
      <c r="AI818" s="221"/>
    </row>
    <row r="819" ht="15.75" customHeight="1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  <c r="AB819" s="221"/>
      <c r="AC819" s="221"/>
      <c r="AD819" s="221"/>
      <c r="AE819" s="221"/>
      <c r="AF819" s="221"/>
      <c r="AG819" s="221"/>
      <c r="AH819" s="221"/>
      <c r="AI819" s="221"/>
    </row>
    <row r="820" ht="15.75" customHeight="1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  <c r="AB820" s="221"/>
      <c r="AC820" s="221"/>
      <c r="AD820" s="221"/>
      <c r="AE820" s="221"/>
      <c r="AF820" s="221"/>
      <c r="AG820" s="221"/>
      <c r="AH820" s="221"/>
      <c r="AI820" s="221"/>
    </row>
    <row r="821" ht="15.75" customHeight="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  <c r="AB821" s="221"/>
      <c r="AC821" s="221"/>
      <c r="AD821" s="221"/>
      <c r="AE821" s="221"/>
      <c r="AF821" s="221"/>
      <c r="AG821" s="221"/>
      <c r="AH821" s="221"/>
      <c r="AI821" s="221"/>
    </row>
    <row r="822" ht="15.75" customHeight="1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  <c r="AB822" s="221"/>
      <c r="AC822" s="221"/>
      <c r="AD822" s="221"/>
      <c r="AE822" s="221"/>
      <c r="AF822" s="221"/>
      <c r="AG822" s="221"/>
      <c r="AH822" s="221"/>
      <c r="AI822" s="221"/>
    </row>
    <row r="823" ht="15.75" customHeight="1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  <c r="AB823" s="221"/>
      <c r="AC823" s="221"/>
      <c r="AD823" s="221"/>
      <c r="AE823" s="221"/>
      <c r="AF823" s="221"/>
      <c r="AG823" s="221"/>
      <c r="AH823" s="221"/>
      <c r="AI823" s="221"/>
    </row>
    <row r="824" ht="15.75" customHeight="1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  <c r="AB824" s="221"/>
      <c r="AC824" s="221"/>
      <c r="AD824" s="221"/>
      <c r="AE824" s="221"/>
      <c r="AF824" s="221"/>
      <c r="AG824" s="221"/>
      <c r="AH824" s="221"/>
      <c r="AI824" s="221"/>
    </row>
    <row r="825" ht="15.75" customHeight="1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  <c r="AB825" s="221"/>
      <c r="AC825" s="221"/>
      <c r="AD825" s="221"/>
      <c r="AE825" s="221"/>
      <c r="AF825" s="221"/>
      <c r="AG825" s="221"/>
      <c r="AH825" s="221"/>
      <c r="AI825" s="221"/>
    </row>
    <row r="826" ht="15.75" customHeight="1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  <c r="AB826" s="221"/>
      <c r="AC826" s="221"/>
      <c r="AD826" s="221"/>
      <c r="AE826" s="221"/>
      <c r="AF826" s="221"/>
      <c r="AG826" s="221"/>
      <c r="AH826" s="221"/>
      <c r="AI826" s="221"/>
    </row>
    <row r="827" ht="15.75" customHeight="1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  <c r="AB827" s="221"/>
      <c r="AC827" s="221"/>
      <c r="AD827" s="221"/>
      <c r="AE827" s="221"/>
      <c r="AF827" s="221"/>
      <c r="AG827" s="221"/>
      <c r="AH827" s="221"/>
      <c r="AI827" s="221"/>
    </row>
    <row r="828" ht="15.75" customHeight="1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  <c r="AB828" s="221"/>
      <c r="AC828" s="221"/>
      <c r="AD828" s="221"/>
      <c r="AE828" s="221"/>
      <c r="AF828" s="221"/>
      <c r="AG828" s="221"/>
      <c r="AH828" s="221"/>
      <c r="AI828" s="221"/>
    </row>
    <row r="829" ht="15.75" customHeight="1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  <c r="AB829" s="221"/>
      <c r="AC829" s="221"/>
      <c r="AD829" s="221"/>
      <c r="AE829" s="221"/>
      <c r="AF829" s="221"/>
      <c r="AG829" s="221"/>
      <c r="AH829" s="221"/>
      <c r="AI829" s="221"/>
    </row>
    <row r="830" ht="15.75" customHeight="1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  <c r="AB830" s="221"/>
      <c r="AC830" s="221"/>
      <c r="AD830" s="221"/>
      <c r="AE830" s="221"/>
      <c r="AF830" s="221"/>
      <c r="AG830" s="221"/>
      <c r="AH830" s="221"/>
      <c r="AI830" s="221"/>
    </row>
    <row r="831" ht="15.75" customHeight="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  <c r="AB831" s="221"/>
      <c r="AC831" s="221"/>
      <c r="AD831" s="221"/>
      <c r="AE831" s="221"/>
      <c r="AF831" s="221"/>
      <c r="AG831" s="221"/>
      <c r="AH831" s="221"/>
      <c r="AI831" s="221"/>
    </row>
    <row r="832" ht="15.75" customHeight="1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  <c r="AB832" s="221"/>
      <c r="AC832" s="221"/>
      <c r="AD832" s="221"/>
      <c r="AE832" s="221"/>
      <c r="AF832" s="221"/>
      <c r="AG832" s="221"/>
      <c r="AH832" s="221"/>
      <c r="AI832" s="221"/>
    </row>
    <row r="833" ht="15.75" customHeight="1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  <c r="AB833" s="221"/>
      <c r="AC833" s="221"/>
      <c r="AD833" s="221"/>
      <c r="AE833" s="221"/>
      <c r="AF833" s="221"/>
      <c r="AG833" s="221"/>
      <c r="AH833" s="221"/>
      <c r="AI833" s="221"/>
    </row>
    <row r="834" ht="15.75" customHeight="1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  <c r="AB834" s="221"/>
      <c r="AC834" s="221"/>
      <c r="AD834" s="221"/>
      <c r="AE834" s="221"/>
      <c r="AF834" s="221"/>
      <c r="AG834" s="221"/>
      <c r="AH834" s="221"/>
      <c r="AI834" s="221"/>
    </row>
    <row r="835" ht="15.75" customHeight="1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  <c r="AB835" s="221"/>
      <c r="AC835" s="221"/>
      <c r="AD835" s="221"/>
      <c r="AE835" s="221"/>
      <c r="AF835" s="221"/>
      <c r="AG835" s="221"/>
      <c r="AH835" s="221"/>
      <c r="AI835" s="221"/>
    </row>
    <row r="836" ht="15.75" customHeight="1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  <c r="AB836" s="221"/>
      <c r="AC836" s="221"/>
      <c r="AD836" s="221"/>
      <c r="AE836" s="221"/>
      <c r="AF836" s="221"/>
      <c r="AG836" s="221"/>
      <c r="AH836" s="221"/>
      <c r="AI836" s="221"/>
    </row>
    <row r="837" ht="15.75" customHeight="1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  <c r="AB837" s="221"/>
      <c r="AC837" s="221"/>
      <c r="AD837" s="221"/>
      <c r="AE837" s="221"/>
      <c r="AF837" s="221"/>
      <c r="AG837" s="221"/>
      <c r="AH837" s="221"/>
      <c r="AI837" s="221"/>
    </row>
    <row r="838" ht="15.75" customHeight="1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  <c r="AB838" s="221"/>
      <c r="AC838" s="221"/>
      <c r="AD838" s="221"/>
      <c r="AE838" s="221"/>
      <c r="AF838" s="221"/>
      <c r="AG838" s="221"/>
      <c r="AH838" s="221"/>
      <c r="AI838" s="221"/>
    </row>
    <row r="839" ht="15.75" customHeight="1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  <c r="AB839" s="221"/>
      <c r="AC839" s="221"/>
      <c r="AD839" s="221"/>
      <c r="AE839" s="221"/>
      <c r="AF839" s="221"/>
      <c r="AG839" s="221"/>
      <c r="AH839" s="221"/>
      <c r="AI839" s="221"/>
    </row>
    <row r="840" ht="15.75" customHeight="1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  <c r="AB840" s="221"/>
      <c r="AC840" s="221"/>
      <c r="AD840" s="221"/>
      <c r="AE840" s="221"/>
      <c r="AF840" s="221"/>
      <c r="AG840" s="221"/>
      <c r="AH840" s="221"/>
      <c r="AI840" s="221"/>
    </row>
    <row r="841" ht="15.75" customHeight="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  <c r="AB841" s="221"/>
      <c r="AC841" s="221"/>
      <c r="AD841" s="221"/>
      <c r="AE841" s="221"/>
      <c r="AF841" s="221"/>
      <c r="AG841" s="221"/>
      <c r="AH841" s="221"/>
      <c r="AI841" s="221"/>
    </row>
    <row r="842" ht="15.75" customHeight="1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  <c r="AB842" s="221"/>
      <c r="AC842" s="221"/>
      <c r="AD842" s="221"/>
      <c r="AE842" s="221"/>
      <c r="AF842" s="221"/>
      <c r="AG842" s="221"/>
      <c r="AH842" s="221"/>
      <c r="AI842" s="221"/>
    </row>
    <row r="843" ht="15.75" customHeight="1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  <c r="AB843" s="221"/>
      <c r="AC843" s="221"/>
      <c r="AD843" s="221"/>
      <c r="AE843" s="221"/>
      <c r="AF843" s="221"/>
      <c r="AG843" s="221"/>
      <c r="AH843" s="221"/>
      <c r="AI843" s="221"/>
    </row>
    <row r="844" ht="15.75" customHeight="1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  <c r="AB844" s="221"/>
      <c r="AC844" s="221"/>
      <c r="AD844" s="221"/>
      <c r="AE844" s="221"/>
      <c r="AF844" s="221"/>
      <c r="AG844" s="221"/>
      <c r="AH844" s="221"/>
      <c r="AI844" s="221"/>
    </row>
    <row r="845" ht="15.75" customHeight="1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  <c r="AB845" s="221"/>
      <c r="AC845" s="221"/>
      <c r="AD845" s="221"/>
      <c r="AE845" s="221"/>
      <c r="AF845" s="221"/>
      <c r="AG845" s="221"/>
      <c r="AH845" s="221"/>
      <c r="AI845" s="221"/>
    </row>
    <row r="846" ht="15.75" customHeight="1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  <c r="AB846" s="221"/>
      <c r="AC846" s="221"/>
      <c r="AD846" s="221"/>
      <c r="AE846" s="221"/>
      <c r="AF846" s="221"/>
      <c r="AG846" s="221"/>
      <c r="AH846" s="221"/>
      <c r="AI846" s="221"/>
    </row>
    <row r="847" ht="15.75" customHeight="1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  <c r="AB847" s="221"/>
      <c r="AC847" s="221"/>
      <c r="AD847" s="221"/>
      <c r="AE847" s="221"/>
      <c r="AF847" s="221"/>
      <c r="AG847" s="221"/>
      <c r="AH847" s="221"/>
      <c r="AI847" s="221"/>
    </row>
    <row r="848" ht="15.75" customHeight="1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  <c r="AB848" s="221"/>
      <c r="AC848" s="221"/>
      <c r="AD848" s="221"/>
      <c r="AE848" s="221"/>
      <c r="AF848" s="221"/>
      <c r="AG848" s="221"/>
      <c r="AH848" s="221"/>
      <c r="AI848" s="221"/>
    </row>
    <row r="849" ht="15.75" customHeight="1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  <c r="AB849" s="221"/>
      <c r="AC849" s="221"/>
      <c r="AD849" s="221"/>
      <c r="AE849" s="221"/>
      <c r="AF849" s="221"/>
      <c r="AG849" s="221"/>
      <c r="AH849" s="221"/>
      <c r="AI849" s="221"/>
    </row>
    <row r="850" ht="15.75" customHeight="1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  <c r="AB850" s="221"/>
      <c r="AC850" s="221"/>
      <c r="AD850" s="221"/>
      <c r="AE850" s="221"/>
      <c r="AF850" s="221"/>
      <c r="AG850" s="221"/>
      <c r="AH850" s="221"/>
      <c r="AI850" s="221"/>
    </row>
    <row r="851" ht="15.75" customHeight="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  <c r="AB851" s="221"/>
      <c r="AC851" s="221"/>
      <c r="AD851" s="221"/>
      <c r="AE851" s="221"/>
      <c r="AF851" s="221"/>
      <c r="AG851" s="221"/>
      <c r="AH851" s="221"/>
      <c r="AI851" s="221"/>
    </row>
    <row r="852" ht="15.75" customHeight="1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  <c r="AB852" s="221"/>
      <c r="AC852" s="221"/>
      <c r="AD852" s="221"/>
      <c r="AE852" s="221"/>
      <c r="AF852" s="221"/>
      <c r="AG852" s="221"/>
      <c r="AH852" s="221"/>
      <c r="AI852" s="221"/>
    </row>
    <row r="853" ht="15.75" customHeight="1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  <c r="AB853" s="221"/>
      <c r="AC853" s="221"/>
      <c r="AD853" s="221"/>
      <c r="AE853" s="221"/>
      <c r="AF853" s="221"/>
      <c r="AG853" s="221"/>
      <c r="AH853" s="221"/>
      <c r="AI853" s="221"/>
    </row>
    <row r="854" ht="15.75" customHeight="1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  <c r="AB854" s="221"/>
      <c r="AC854" s="221"/>
      <c r="AD854" s="221"/>
      <c r="AE854" s="221"/>
      <c r="AF854" s="221"/>
      <c r="AG854" s="221"/>
      <c r="AH854" s="221"/>
      <c r="AI854" s="221"/>
    </row>
    <row r="855" ht="15.75" customHeight="1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  <c r="AB855" s="221"/>
      <c r="AC855" s="221"/>
      <c r="AD855" s="221"/>
      <c r="AE855" s="221"/>
      <c r="AF855" s="221"/>
      <c r="AG855" s="221"/>
      <c r="AH855" s="221"/>
      <c r="AI855" s="221"/>
    </row>
    <row r="856" ht="15.75" customHeight="1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  <c r="AB856" s="221"/>
      <c r="AC856" s="221"/>
      <c r="AD856" s="221"/>
      <c r="AE856" s="221"/>
      <c r="AF856" s="221"/>
      <c r="AG856" s="221"/>
      <c r="AH856" s="221"/>
      <c r="AI856" s="221"/>
    </row>
    <row r="857" ht="15.75" customHeight="1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  <c r="AB857" s="221"/>
      <c r="AC857" s="221"/>
      <c r="AD857" s="221"/>
      <c r="AE857" s="221"/>
      <c r="AF857" s="221"/>
      <c r="AG857" s="221"/>
      <c r="AH857" s="221"/>
      <c r="AI857" s="221"/>
    </row>
    <row r="858" ht="15.75" customHeight="1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  <c r="AB858" s="221"/>
      <c r="AC858" s="221"/>
      <c r="AD858" s="221"/>
      <c r="AE858" s="221"/>
      <c r="AF858" s="221"/>
      <c r="AG858" s="221"/>
      <c r="AH858" s="221"/>
      <c r="AI858" s="221"/>
    </row>
    <row r="859" ht="15.75" customHeight="1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  <c r="AB859" s="221"/>
      <c r="AC859" s="221"/>
      <c r="AD859" s="221"/>
      <c r="AE859" s="221"/>
      <c r="AF859" s="221"/>
      <c r="AG859" s="221"/>
      <c r="AH859" s="221"/>
      <c r="AI859" s="221"/>
    </row>
    <row r="860" ht="15.75" customHeight="1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  <c r="AB860" s="221"/>
      <c r="AC860" s="221"/>
      <c r="AD860" s="221"/>
      <c r="AE860" s="221"/>
      <c r="AF860" s="221"/>
      <c r="AG860" s="221"/>
      <c r="AH860" s="221"/>
      <c r="AI860" s="221"/>
    </row>
    <row r="861" ht="15.75" customHeight="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  <c r="AB861" s="221"/>
      <c r="AC861" s="221"/>
      <c r="AD861" s="221"/>
      <c r="AE861" s="221"/>
      <c r="AF861" s="221"/>
      <c r="AG861" s="221"/>
      <c r="AH861" s="221"/>
      <c r="AI861" s="221"/>
    </row>
    <row r="862" ht="15.75" customHeight="1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  <c r="AB862" s="221"/>
      <c r="AC862" s="221"/>
      <c r="AD862" s="221"/>
      <c r="AE862" s="221"/>
      <c r="AF862" s="221"/>
      <c r="AG862" s="221"/>
      <c r="AH862" s="221"/>
      <c r="AI862" s="221"/>
    </row>
    <row r="863" ht="15.75" customHeight="1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  <c r="AB863" s="221"/>
      <c r="AC863" s="221"/>
      <c r="AD863" s="221"/>
      <c r="AE863" s="221"/>
      <c r="AF863" s="221"/>
      <c r="AG863" s="221"/>
      <c r="AH863" s="221"/>
      <c r="AI863" s="221"/>
    </row>
    <row r="864" ht="15.75" customHeight="1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  <c r="AB864" s="221"/>
      <c r="AC864" s="221"/>
      <c r="AD864" s="221"/>
      <c r="AE864" s="221"/>
      <c r="AF864" s="221"/>
      <c r="AG864" s="221"/>
      <c r="AH864" s="221"/>
      <c r="AI864" s="221"/>
    </row>
    <row r="865" ht="15.75" customHeight="1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  <c r="AB865" s="221"/>
      <c r="AC865" s="221"/>
      <c r="AD865" s="221"/>
      <c r="AE865" s="221"/>
      <c r="AF865" s="221"/>
      <c r="AG865" s="221"/>
      <c r="AH865" s="221"/>
      <c r="AI865" s="221"/>
    </row>
    <row r="866" ht="15.75" customHeight="1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  <c r="AB866" s="221"/>
      <c r="AC866" s="221"/>
      <c r="AD866" s="221"/>
      <c r="AE866" s="221"/>
      <c r="AF866" s="221"/>
      <c r="AG866" s="221"/>
      <c r="AH866" s="221"/>
      <c r="AI866" s="221"/>
    </row>
    <row r="867" ht="15.75" customHeight="1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  <c r="AB867" s="221"/>
      <c r="AC867" s="221"/>
      <c r="AD867" s="221"/>
      <c r="AE867" s="221"/>
      <c r="AF867" s="221"/>
      <c r="AG867" s="221"/>
      <c r="AH867" s="221"/>
      <c r="AI867" s="221"/>
    </row>
    <row r="868" ht="15.75" customHeight="1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  <c r="AB868" s="221"/>
      <c r="AC868" s="221"/>
      <c r="AD868" s="221"/>
      <c r="AE868" s="221"/>
      <c r="AF868" s="221"/>
      <c r="AG868" s="221"/>
      <c r="AH868" s="221"/>
      <c r="AI868" s="221"/>
    </row>
    <row r="869" ht="15.75" customHeight="1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  <c r="AB869" s="221"/>
      <c r="AC869" s="221"/>
      <c r="AD869" s="221"/>
      <c r="AE869" s="221"/>
      <c r="AF869" s="221"/>
      <c r="AG869" s="221"/>
      <c r="AH869" s="221"/>
      <c r="AI869" s="221"/>
    </row>
    <row r="870" ht="15.75" customHeight="1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  <c r="AB870" s="221"/>
      <c r="AC870" s="221"/>
      <c r="AD870" s="221"/>
      <c r="AE870" s="221"/>
      <c r="AF870" s="221"/>
      <c r="AG870" s="221"/>
      <c r="AH870" s="221"/>
      <c r="AI870" s="221"/>
    </row>
    <row r="871" ht="15.75" customHeight="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  <c r="AB871" s="221"/>
      <c r="AC871" s="221"/>
      <c r="AD871" s="221"/>
      <c r="AE871" s="221"/>
      <c r="AF871" s="221"/>
      <c r="AG871" s="221"/>
      <c r="AH871" s="221"/>
      <c r="AI871" s="221"/>
    </row>
    <row r="872" ht="15.75" customHeight="1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  <c r="AB872" s="221"/>
      <c r="AC872" s="221"/>
      <c r="AD872" s="221"/>
      <c r="AE872" s="221"/>
      <c r="AF872" s="221"/>
      <c r="AG872" s="221"/>
      <c r="AH872" s="221"/>
      <c r="AI872" s="221"/>
    </row>
    <row r="873" ht="15.75" customHeight="1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  <c r="AB873" s="221"/>
      <c r="AC873" s="221"/>
      <c r="AD873" s="221"/>
      <c r="AE873" s="221"/>
      <c r="AF873" s="221"/>
      <c r="AG873" s="221"/>
      <c r="AH873" s="221"/>
      <c r="AI873" s="221"/>
    </row>
    <row r="874" ht="15.75" customHeight="1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  <c r="AB874" s="221"/>
      <c r="AC874" s="221"/>
      <c r="AD874" s="221"/>
      <c r="AE874" s="221"/>
      <c r="AF874" s="221"/>
      <c r="AG874" s="221"/>
      <c r="AH874" s="221"/>
      <c r="AI874" s="221"/>
    </row>
    <row r="875" ht="15.75" customHeight="1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  <c r="AB875" s="221"/>
      <c r="AC875" s="221"/>
      <c r="AD875" s="221"/>
      <c r="AE875" s="221"/>
      <c r="AF875" s="221"/>
      <c r="AG875" s="221"/>
      <c r="AH875" s="221"/>
      <c r="AI875" s="221"/>
    </row>
    <row r="876" ht="15.75" customHeight="1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  <c r="AB876" s="221"/>
      <c r="AC876" s="221"/>
      <c r="AD876" s="221"/>
      <c r="AE876" s="221"/>
      <c r="AF876" s="221"/>
      <c r="AG876" s="221"/>
      <c r="AH876" s="221"/>
      <c r="AI876" s="221"/>
    </row>
    <row r="877" ht="15.75" customHeight="1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  <c r="AB877" s="221"/>
      <c r="AC877" s="221"/>
      <c r="AD877" s="221"/>
      <c r="AE877" s="221"/>
      <c r="AF877" s="221"/>
      <c r="AG877" s="221"/>
      <c r="AH877" s="221"/>
      <c r="AI877" s="221"/>
    </row>
    <row r="878" ht="15.75" customHeight="1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  <c r="AB878" s="221"/>
      <c r="AC878" s="221"/>
      <c r="AD878" s="221"/>
      <c r="AE878" s="221"/>
      <c r="AF878" s="221"/>
      <c r="AG878" s="221"/>
      <c r="AH878" s="221"/>
      <c r="AI878" s="221"/>
    </row>
    <row r="879" ht="15.75" customHeight="1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  <c r="AB879" s="221"/>
      <c r="AC879" s="221"/>
      <c r="AD879" s="221"/>
      <c r="AE879" s="221"/>
      <c r="AF879" s="221"/>
      <c r="AG879" s="221"/>
      <c r="AH879" s="221"/>
      <c r="AI879" s="221"/>
    </row>
    <row r="880" ht="15.75" customHeight="1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  <c r="AB880" s="221"/>
      <c r="AC880" s="221"/>
      <c r="AD880" s="221"/>
      <c r="AE880" s="221"/>
      <c r="AF880" s="221"/>
      <c r="AG880" s="221"/>
      <c r="AH880" s="221"/>
      <c r="AI880" s="221"/>
    </row>
    <row r="881" ht="15.75" customHeight="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  <c r="AB881" s="221"/>
      <c r="AC881" s="221"/>
      <c r="AD881" s="221"/>
      <c r="AE881" s="221"/>
      <c r="AF881" s="221"/>
      <c r="AG881" s="221"/>
      <c r="AH881" s="221"/>
      <c r="AI881" s="221"/>
    </row>
    <row r="882" ht="15.75" customHeight="1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  <c r="AB882" s="221"/>
      <c r="AC882" s="221"/>
      <c r="AD882" s="221"/>
      <c r="AE882" s="221"/>
      <c r="AF882" s="221"/>
      <c r="AG882" s="221"/>
      <c r="AH882" s="221"/>
      <c r="AI882" s="221"/>
    </row>
    <row r="883" ht="15.75" customHeight="1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  <c r="AB883" s="221"/>
      <c r="AC883" s="221"/>
      <c r="AD883" s="221"/>
      <c r="AE883" s="221"/>
      <c r="AF883" s="221"/>
      <c r="AG883" s="221"/>
      <c r="AH883" s="221"/>
      <c r="AI883" s="221"/>
    </row>
    <row r="884" ht="15.75" customHeight="1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  <c r="AB884" s="221"/>
      <c r="AC884" s="221"/>
      <c r="AD884" s="221"/>
      <c r="AE884" s="221"/>
      <c r="AF884" s="221"/>
      <c r="AG884" s="221"/>
      <c r="AH884" s="221"/>
      <c r="AI884" s="221"/>
    </row>
    <row r="885" ht="15.75" customHeight="1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  <c r="AB885" s="221"/>
      <c r="AC885" s="221"/>
      <c r="AD885" s="221"/>
      <c r="AE885" s="221"/>
      <c r="AF885" s="221"/>
      <c r="AG885" s="221"/>
      <c r="AH885" s="221"/>
      <c r="AI885" s="221"/>
    </row>
    <row r="886" ht="15.75" customHeight="1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  <c r="AB886" s="221"/>
      <c r="AC886" s="221"/>
      <c r="AD886" s="221"/>
      <c r="AE886" s="221"/>
      <c r="AF886" s="221"/>
      <c r="AG886" s="221"/>
      <c r="AH886" s="221"/>
      <c r="AI886" s="221"/>
    </row>
    <row r="887" ht="15.75" customHeight="1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  <c r="AB887" s="221"/>
      <c r="AC887" s="221"/>
      <c r="AD887" s="221"/>
      <c r="AE887" s="221"/>
      <c r="AF887" s="221"/>
      <c r="AG887" s="221"/>
      <c r="AH887" s="221"/>
      <c r="AI887" s="221"/>
    </row>
    <row r="888" ht="15.75" customHeight="1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  <c r="AB888" s="221"/>
      <c r="AC888" s="221"/>
      <c r="AD888" s="221"/>
      <c r="AE888" s="221"/>
      <c r="AF888" s="221"/>
      <c r="AG888" s="221"/>
      <c r="AH888" s="221"/>
      <c r="AI888" s="221"/>
    </row>
    <row r="889" ht="15.75" customHeight="1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  <c r="AB889" s="221"/>
      <c r="AC889" s="221"/>
      <c r="AD889" s="221"/>
      <c r="AE889" s="221"/>
      <c r="AF889" s="221"/>
      <c r="AG889" s="221"/>
      <c r="AH889" s="221"/>
      <c r="AI889" s="221"/>
    </row>
    <row r="890" ht="15.75" customHeight="1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  <c r="AB890" s="221"/>
      <c r="AC890" s="221"/>
      <c r="AD890" s="221"/>
      <c r="AE890" s="221"/>
      <c r="AF890" s="221"/>
      <c r="AG890" s="221"/>
      <c r="AH890" s="221"/>
      <c r="AI890" s="221"/>
    </row>
    <row r="891" ht="15.75" customHeight="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  <c r="AB891" s="221"/>
      <c r="AC891" s="221"/>
      <c r="AD891" s="221"/>
      <c r="AE891" s="221"/>
      <c r="AF891" s="221"/>
      <c r="AG891" s="221"/>
      <c r="AH891" s="221"/>
      <c r="AI891" s="221"/>
    </row>
    <row r="892" ht="15.75" customHeight="1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  <c r="AB892" s="221"/>
      <c r="AC892" s="221"/>
      <c r="AD892" s="221"/>
      <c r="AE892" s="221"/>
      <c r="AF892" s="221"/>
      <c r="AG892" s="221"/>
      <c r="AH892" s="221"/>
      <c r="AI892" s="221"/>
    </row>
    <row r="893" ht="15.75" customHeight="1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  <c r="AB893" s="221"/>
      <c r="AC893" s="221"/>
      <c r="AD893" s="221"/>
      <c r="AE893" s="221"/>
      <c r="AF893" s="221"/>
      <c r="AG893" s="221"/>
      <c r="AH893" s="221"/>
      <c r="AI893" s="221"/>
    </row>
    <row r="894" ht="15.75" customHeight="1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  <c r="AB894" s="221"/>
      <c r="AC894" s="221"/>
      <c r="AD894" s="221"/>
      <c r="AE894" s="221"/>
      <c r="AF894" s="221"/>
      <c r="AG894" s="221"/>
      <c r="AH894" s="221"/>
      <c r="AI894" s="221"/>
    </row>
    <row r="895" ht="15.75" customHeight="1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  <c r="AB895" s="221"/>
      <c r="AC895" s="221"/>
      <c r="AD895" s="221"/>
      <c r="AE895" s="221"/>
      <c r="AF895" s="221"/>
      <c r="AG895" s="221"/>
      <c r="AH895" s="221"/>
      <c r="AI895" s="221"/>
    </row>
    <row r="896" ht="15.75" customHeight="1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  <c r="AB896" s="221"/>
      <c r="AC896" s="221"/>
      <c r="AD896" s="221"/>
      <c r="AE896" s="221"/>
      <c r="AF896" s="221"/>
      <c r="AG896" s="221"/>
      <c r="AH896" s="221"/>
      <c r="AI896" s="221"/>
    </row>
    <row r="897" ht="15.75" customHeight="1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  <c r="AB897" s="221"/>
      <c r="AC897" s="221"/>
      <c r="AD897" s="221"/>
      <c r="AE897" s="221"/>
      <c r="AF897" s="221"/>
      <c r="AG897" s="221"/>
      <c r="AH897" s="221"/>
      <c r="AI897" s="221"/>
    </row>
    <row r="898" ht="15.75" customHeight="1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  <c r="AB898" s="221"/>
      <c r="AC898" s="221"/>
      <c r="AD898" s="221"/>
      <c r="AE898" s="221"/>
      <c r="AF898" s="221"/>
      <c r="AG898" s="221"/>
      <c r="AH898" s="221"/>
      <c r="AI898" s="221"/>
    </row>
    <row r="899" ht="15.75" customHeight="1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  <c r="AB899" s="221"/>
      <c r="AC899" s="221"/>
      <c r="AD899" s="221"/>
      <c r="AE899" s="221"/>
      <c r="AF899" s="221"/>
      <c r="AG899" s="221"/>
      <c r="AH899" s="221"/>
      <c r="AI899" s="221"/>
    </row>
    <row r="900" ht="15.75" customHeight="1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  <c r="AB900" s="221"/>
      <c r="AC900" s="221"/>
      <c r="AD900" s="221"/>
      <c r="AE900" s="221"/>
      <c r="AF900" s="221"/>
      <c r="AG900" s="221"/>
      <c r="AH900" s="221"/>
      <c r="AI900" s="221"/>
    </row>
    <row r="901" ht="15.75" customHeight="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  <c r="AB901" s="221"/>
      <c r="AC901" s="221"/>
      <c r="AD901" s="221"/>
      <c r="AE901" s="221"/>
      <c r="AF901" s="221"/>
      <c r="AG901" s="221"/>
      <c r="AH901" s="221"/>
      <c r="AI901" s="221"/>
    </row>
    <row r="902" ht="15.75" customHeight="1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  <c r="AB902" s="221"/>
      <c r="AC902" s="221"/>
      <c r="AD902" s="221"/>
      <c r="AE902" s="221"/>
      <c r="AF902" s="221"/>
      <c r="AG902" s="221"/>
      <c r="AH902" s="221"/>
      <c r="AI902" s="221"/>
    </row>
    <row r="903" ht="15.75" customHeight="1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  <c r="AB903" s="221"/>
      <c r="AC903" s="221"/>
      <c r="AD903" s="221"/>
      <c r="AE903" s="221"/>
      <c r="AF903" s="221"/>
      <c r="AG903" s="221"/>
      <c r="AH903" s="221"/>
      <c r="AI903" s="221"/>
    </row>
    <row r="904" ht="15.75" customHeight="1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  <c r="AB904" s="221"/>
      <c r="AC904" s="221"/>
      <c r="AD904" s="221"/>
      <c r="AE904" s="221"/>
      <c r="AF904" s="221"/>
      <c r="AG904" s="221"/>
      <c r="AH904" s="221"/>
      <c r="AI904" s="221"/>
    </row>
    <row r="905" ht="15.75" customHeight="1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  <c r="AB905" s="221"/>
      <c r="AC905" s="221"/>
      <c r="AD905" s="221"/>
      <c r="AE905" s="221"/>
      <c r="AF905" s="221"/>
      <c r="AG905" s="221"/>
      <c r="AH905" s="221"/>
      <c r="AI905" s="221"/>
    </row>
    <row r="906" ht="15.75" customHeight="1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  <c r="AB906" s="221"/>
      <c r="AC906" s="221"/>
      <c r="AD906" s="221"/>
      <c r="AE906" s="221"/>
      <c r="AF906" s="221"/>
      <c r="AG906" s="221"/>
      <c r="AH906" s="221"/>
      <c r="AI906" s="221"/>
    </row>
    <row r="907" ht="15.75" customHeight="1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  <c r="AB907" s="221"/>
      <c r="AC907" s="221"/>
      <c r="AD907" s="221"/>
      <c r="AE907" s="221"/>
      <c r="AF907" s="221"/>
      <c r="AG907" s="221"/>
      <c r="AH907" s="221"/>
      <c r="AI907" s="221"/>
    </row>
    <row r="908" ht="15.75" customHeight="1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  <c r="AB908" s="221"/>
      <c r="AC908" s="221"/>
      <c r="AD908" s="221"/>
      <c r="AE908" s="221"/>
      <c r="AF908" s="221"/>
      <c r="AG908" s="221"/>
      <c r="AH908" s="221"/>
      <c r="AI908" s="221"/>
    </row>
    <row r="909" ht="15.75" customHeight="1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  <c r="AB909" s="221"/>
      <c r="AC909" s="221"/>
      <c r="AD909" s="221"/>
      <c r="AE909" s="221"/>
      <c r="AF909" s="221"/>
      <c r="AG909" s="221"/>
      <c r="AH909" s="221"/>
      <c r="AI909" s="221"/>
    </row>
    <row r="910" ht="15.75" customHeight="1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  <c r="AB910" s="221"/>
      <c r="AC910" s="221"/>
      <c r="AD910" s="221"/>
      <c r="AE910" s="221"/>
      <c r="AF910" s="221"/>
      <c r="AG910" s="221"/>
      <c r="AH910" s="221"/>
      <c r="AI910" s="221"/>
    </row>
    <row r="911" ht="15.75" customHeight="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  <c r="AB911" s="221"/>
      <c r="AC911" s="221"/>
      <c r="AD911" s="221"/>
      <c r="AE911" s="221"/>
      <c r="AF911" s="221"/>
      <c r="AG911" s="221"/>
      <c r="AH911" s="221"/>
      <c r="AI911" s="221"/>
    </row>
    <row r="912" ht="15.75" customHeight="1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  <c r="AB912" s="221"/>
      <c r="AC912" s="221"/>
      <c r="AD912" s="221"/>
      <c r="AE912" s="221"/>
      <c r="AF912" s="221"/>
      <c r="AG912" s="221"/>
      <c r="AH912" s="221"/>
      <c r="AI912" s="221"/>
    </row>
    <row r="913" ht="15.75" customHeight="1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  <c r="AB913" s="221"/>
      <c r="AC913" s="221"/>
      <c r="AD913" s="221"/>
      <c r="AE913" s="221"/>
      <c r="AF913" s="221"/>
      <c r="AG913" s="221"/>
      <c r="AH913" s="221"/>
      <c r="AI913" s="221"/>
    </row>
    <row r="914" ht="15.75" customHeight="1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  <c r="AB914" s="221"/>
      <c r="AC914" s="221"/>
      <c r="AD914" s="221"/>
      <c r="AE914" s="221"/>
      <c r="AF914" s="221"/>
      <c r="AG914" s="221"/>
      <c r="AH914" s="221"/>
      <c r="AI914" s="221"/>
    </row>
    <row r="915" ht="15.75" customHeight="1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  <c r="AB915" s="221"/>
      <c r="AC915" s="221"/>
      <c r="AD915" s="221"/>
      <c r="AE915" s="221"/>
      <c r="AF915" s="221"/>
      <c r="AG915" s="221"/>
      <c r="AH915" s="221"/>
      <c r="AI915" s="221"/>
    </row>
    <row r="916" ht="15.75" customHeight="1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  <c r="AB916" s="221"/>
      <c r="AC916" s="221"/>
      <c r="AD916" s="221"/>
      <c r="AE916" s="221"/>
      <c r="AF916" s="221"/>
      <c r="AG916" s="221"/>
      <c r="AH916" s="221"/>
      <c r="AI916" s="221"/>
    </row>
    <row r="917" ht="15.75" customHeight="1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  <c r="AB917" s="221"/>
      <c r="AC917" s="221"/>
      <c r="AD917" s="221"/>
      <c r="AE917" s="221"/>
      <c r="AF917" s="221"/>
      <c r="AG917" s="221"/>
      <c r="AH917" s="221"/>
      <c r="AI917" s="221"/>
    </row>
    <row r="918" ht="15.75" customHeight="1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  <c r="AB918" s="221"/>
      <c r="AC918" s="221"/>
      <c r="AD918" s="221"/>
      <c r="AE918" s="221"/>
      <c r="AF918" s="221"/>
      <c r="AG918" s="221"/>
      <c r="AH918" s="221"/>
      <c r="AI918" s="221"/>
    </row>
    <row r="919" ht="15.75" customHeight="1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  <c r="AB919" s="221"/>
      <c r="AC919" s="221"/>
      <c r="AD919" s="221"/>
      <c r="AE919" s="221"/>
      <c r="AF919" s="221"/>
      <c r="AG919" s="221"/>
      <c r="AH919" s="221"/>
      <c r="AI919" s="221"/>
    </row>
    <row r="920" ht="15.75" customHeight="1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  <c r="AB920" s="221"/>
      <c r="AC920" s="221"/>
      <c r="AD920" s="221"/>
      <c r="AE920" s="221"/>
      <c r="AF920" s="221"/>
      <c r="AG920" s="221"/>
      <c r="AH920" s="221"/>
      <c r="AI920" s="221"/>
    </row>
    <row r="921" ht="15.75" customHeight="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  <c r="AB921" s="221"/>
      <c r="AC921" s="221"/>
      <c r="AD921" s="221"/>
      <c r="AE921" s="221"/>
      <c r="AF921" s="221"/>
      <c r="AG921" s="221"/>
      <c r="AH921" s="221"/>
      <c r="AI921" s="221"/>
    </row>
    <row r="922" ht="15.75" customHeight="1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  <c r="AB922" s="221"/>
      <c r="AC922" s="221"/>
      <c r="AD922" s="221"/>
      <c r="AE922" s="221"/>
      <c r="AF922" s="221"/>
      <c r="AG922" s="221"/>
      <c r="AH922" s="221"/>
      <c r="AI922" s="221"/>
    </row>
    <row r="923" ht="15.75" customHeight="1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  <c r="AB923" s="221"/>
      <c r="AC923" s="221"/>
      <c r="AD923" s="221"/>
      <c r="AE923" s="221"/>
      <c r="AF923" s="221"/>
      <c r="AG923" s="221"/>
      <c r="AH923" s="221"/>
      <c r="AI923" s="221"/>
    </row>
    <row r="924" ht="15.75" customHeight="1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  <c r="AB924" s="221"/>
      <c r="AC924" s="221"/>
      <c r="AD924" s="221"/>
      <c r="AE924" s="221"/>
      <c r="AF924" s="221"/>
      <c r="AG924" s="221"/>
      <c r="AH924" s="221"/>
      <c r="AI924" s="221"/>
    </row>
    <row r="925" ht="15.75" customHeight="1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  <c r="AB925" s="221"/>
      <c r="AC925" s="221"/>
      <c r="AD925" s="221"/>
      <c r="AE925" s="221"/>
      <c r="AF925" s="221"/>
      <c r="AG925" s="221"/>
      <c r="AH925" s="221"/>
      <c r="AI925" s="221"/>
    </row>
    <row r="926" ht="15.75" customHeight="1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  <c r="AB926" s="221"/>
      <c r="AC926" s="221"/>
      <c r="AD926" s="221"/>
      <c r="AE926" s="221"/>
      <c r="AF926" s="221"/>
      <c r="AG926" s="221"/>
      <c r="AH926" s="221"/>
      <c r="AI926" s="221"/>
    </row>
    <row r="927" ht="15.75" customHeight="1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  <c r="AB927" s="221"/>
      <c r="AC927" s="221"/>
      <c r="AD927" s="221"/>
      <c r="AE927" s="221"/>
      <c r="AF927" s="221"/>
      <c r="AG927" s="221"/>
      <c r="AH927" s="221"/>
      <c r="AI927" s="221"/>
    </row>
    <row r="928" ht="15.75" customHeight="1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  <c r="AB928" s="221"/>
      <c r="AC928" s="221"/>
      <c r="AD928" s="221"/>
      <c r="AE928" s="221"/>
      <c r="AF928" s="221"/>
      <c r="AG928" s="221"/>
      <c r="AH928" s="221"/>
      <c r="AI928" s="221"/>
    </row>
    <row r="929" ht="15.75" customHeight="1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  <c r="AB929" s="221"/>
      <c r="AC929" s="221"/>
      <c r="AD929" s="221"/>
      <c r="AE929" s="221"/>
      <c r="AF929" s="221"/>
      <c r="AG929" s="221"/>
      <c r="AH929" s="221"/>
      <c r="AI929" s="221"/>
    </row>
    <row r="930" ht="15.75" customHeight="1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  <c r="AB930" s="221"/>
      <c r="AC930" s="221"/>
      <c r="AD930" s="221"/>
      <c r="AE930" s="221"/>
      <c r="AF930" s="221"/>
      <c r="AG930" s="221"/>
      <c r="AH930" s="221"/>
      <c r="AI930" s="221"/>
    </row>
    <row r="931" ht="15.75" customHeight="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  <c r="AB931" s="221"/>
      <c r="AC931" s="221"/>
      <c r="AD931" s="221"/>
      <c r="AE931" s="221"/>
      <c r="AF931" s="221"/>
      <c r="AG931" s="221"/>
      <c r="AH931" s="221"/>
      <c r="AI931" s="221"/>
    </row>
    <row r="932" ht="15.75" customHeight="1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  <c r="AB932" s="221"/>
      <c r="AC932" s="221"/>
      <c r="AD932" s="221"/>
      <c r="AE932" s="221"/>
      <c r="AF932" s="221"/>
      <c r="AG932" s="221"/>
      <c r="AH932" s="221"/>
      <c r="AI932" s="221"/>
    </row>
    <row r="933" ht="15.75" customHeight="1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  <c r="AB933" s="221"/>
      <c r="AC933" s="221"/>
      <c r="AD933" s="221"/>
      <c r="AE933" s="221"/>
      <c r="AF933" s="221"/>
      <c r="AG933" s="221"/>
      <c r="AH933" s="221"/>
      <c r="AI933" s="221"/>
    </row>
    <row r="934" ht="15.75" customHeight="1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  <c r="AB934" s="221"/>
      <c r="AC934" s="221"/>
      <c r="AD934" s="221"/>
      <c r="AE934" s="221"/>
      <c r="AF934" s="221"/>
      <c r="AG934" s="221"/>
      <c r="AH934" s="221"/>
      <c r="AI934" s="221"/>
    </row>
    <row r="935" ht="15.75" customHeight="1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  <c r="AB935" s="221"/>
      <c r="AC935" s="221"/>
      <c r="AD935" s="221"/>
      <c r="AE935" s="221"/>
      <c r="AF935" s="221"/>
      <c r="AG935" s="221"/>
      <c r="AH935" s="221"/>
      <c r="AI935" s="221"/>
    </row>
    <row r="936" ht="15.75" customHeight="1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  <c r="AB936" s="221"/>
      <c r="AC936" s="221"/>
      <c r="AD936" s="221"/>
      <c r="AE936" s="221"/>
      <c r="AF936" s="221"/>
      <c r="AG936" s="221"/>
      <c r="AH936" s="221"/>
      <c r="AI936" s="221"/>
    </row>
    <row r="937" ht="15.75" customHeight="1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  <c r="AB937" s="221"/>
      <c r="AC937" s="221"/>
      <c r="AD937" s="221"/>
      <c r="AE937" s="221"/>
      <c r="AF937" s="221"/>
      <c r="AG937" s="221"/>
      <c r="AH937" s="221"/>
      <c r="AI937" s="221"/>
    </row>
    <row r="938" ht="15.75" customHeight="1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  <c r="AB938" s="221"/>
      <c r="AC938" s="221"/>
      <c r="AD938" s="221"/>
      <c r="AE938" s="221"/>
      <c r="AF938" s="221"/>
      <c r="AG938" s="221"/>
      <c r="AH938" s="221"/>
      <c r="AI938" s="221"/>
    </row>
    <row r="939" ht="15.75" customHeight="1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  <c r="AB939" s="221"/>
      <c r="AC939" s="221"/>
      <c r="AD939" s="221"/>
      <c r="AE939" s="221"/>
      <c r="AF939" s="221"/>
      <c r="AG939" s="221"/>
      <c r="AH939" s="221"/>
      <c r="AI939" s="221"/>
    </row>
    <row r="940" ht="15.75" customHeight="1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  <c r="AB940" s="221"/>
      <c r="AC940" s="221"/>
      <c r="AD940" s="221"/>
      <c r="AE940" s="221"/>
      <c r="AF940" s="221"/>
      <c r="AG940" s="221"/>
      <c r="AH940" s="221"/>
      <c r="AI940" s="221"/>
    </row>
    <row r="941" ht="15.75" customHeight="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  <c r="AB941" s="221"/>
      <c r="AC941" s="221"/>
      <c r="AD941" s="221"/>
      <c r="AE941" s="221"/>
      <c r="AF941" s="221"/>
      <c r="AG941" s="221"/>
      <c r="AH941" s="221"/>
      <c r="AI941" s="221"/>
    </row>
    <row r="942" ht="15.75" customHeight="1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  <c r="AB942" s="221"/>
      <c r="AC942" s="221"/>
      <c r="AD942" s="221"/>
      <c r="AE942" s="221"/>
      <c r="AF942" s="221"/>
      <c r="AG942" s="221"/>
      <c r="AH942" s="221"/>
      <c r="AI942" s="221"/>
    </row>
    <row r="943" ht="15.75" customHeight="1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  <c r="AB943" s="221"/>
      <c r="AC943" s="221"/>
      <c r="AD943" s="221"/>
      <c r="AE943" s="221"/>
      <c r="AF943" s="221"/>
      <c r="AG943" s="221"/>
      <c r="AH943" s="221"/>
      <c r="AI943" s="221"/>
    </row>
    <row r="944" ht="15.75" customHeight="1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  <c r="AB944" s="221"/>
      <c r="AC944" s="221"/>
      <c r="AD944" s="221"/>
      <c r="AE944" s="221"/>
      <c r="AF944" s="221"/>
      <c r="AG944" s="221"/>
      <c r="AH944" s="221"/>
      <c r="AI944" s="221"/>
    </row>
    <row r="945" ht="15.75" customHeight="1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  <c r="AB945" s="221"/>
      <c r="AC945" s="221"/>
      <c r="AD945" s="221"/>
      <c r="AE945" s="221"/>
      <c r="AF945" s="221"/>
      <c r="AG945" s="221"/>
      <c r="AH945" s="221"/>
      <c r="AI945" s="221"/>
    </row>
    <row r="946" ht="15.75" customHeight="1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  <c r="AB946" s="221"/>
      <c r="AC946" s="221"/>
      <c r="AD946" s="221"/>
      <c r="AE946" s="221"/>
      <c r="AF946" s="221"/>
      <c r="AG946" s="221"/>
      <c r="AH946" s="221"/>
      <c r="AI946" s="221"/>
    </row>
    <row r="947" ht="15.75" customHeight="1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  <c r="AB947" s="221"/>
      <c r="AC947" s="221"/>
      <c r="AD947" s="221"/>
      <c r="AE947" s="221"/>
      <c r="AF947" s="221"/>
      <c r="AG947" s="221"/>
      <c r="AH947" s="221"/>
      <c r="AI947" s="221"/>
    </row>
    <row r="948" ht="15.75" customHeight="1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  <c r="AB948" s="221"/>
      <c r="AC948" s="221"/>
      <c r="AD948" s="221"/>
      <c r="AE948" s="221"/>
      <c r="AF948" s="221"/>
      <c r="AG948" s="221"/>
      <c r="AH948" s="221"/>
      <c r="AI948" s="221"/>
    </row>
    <row r="949" ht="15.75" customHeight="1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  <c r="AB949" s="221"/>
      <c r="AC949" s="221"/>
      <c r="AD949" s="221"/>
      <c r="AE949" s="221"/>
      <c r="AF949" s="221"/>
      <c r="AG949" s="221"/>
      <c r="AH949" s="221"/>
      <c r="AI949" s="221"/>
    </row>
    <row r="950" ht="15.75" customHeight="1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  <c r="AB950" s="221"/>
      <c r="AC950" s="221"/>
      <c r="AD950" s="221"/>
      <c r="AE950" s="221"/>
      <c r="AF950" s="221"/>
      <c r="AG950" s="221"/>
      <c r="AH950" s="221"/>
      <c r="AI950" s="221"/>
    </row>
    <row r="951" ht="15.75" customHeight="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  <c r="AB951" s="221"/>
      <c r="AC951" s="221"/>
      <c r="AD951" s="221"/>
      <c r="AE951" s="221"/>
      <c r="AF951" s="221"/>
      <c r="AG951" s="221"/>
      <c r="AH951" s="221"/>
      <c r="AI951" s="221"/>
    </row>
    <row r="952" ht="15.75" customHeight="1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  <c r="AB952" s="221"/>
      <c r="AC952" s="221"/>
      <c r="AD952" s="221"/>
      <c r="AE952" s="221"/>
      <c r="AF952" s="221"/>
      <c r="AG952" s="221"/>
      <c r="AH952" s="221"/>
      <c r="AI952" s="221"/>
    </row>
    <row r="953" ht="15.75" customHeight="1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  <c r="AB953" s="221"/>
      <c r="AC953" s="221"/>
      <c r="AD953" s="221"/>
      <c r="AE953" s="221"/>
      <c r="AF953" s="221"/>
      <c r="AG953" s="221"/>
      <c r="AH953" s="221"/>
      <c r="AI953" s="221"/>
    </row>
    <row r="954" ht="15.75" customHeight="1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  <c r="AB954" s="221"/>
      <c r="AC954" s="221"/>
      <c r="AD954" s="221"/>
      <c r="AE954" s="221"/>
      <c r="AF954" s="221"/>
      <c r="AG954" s="221"/>
      <c r="AH954" s="221"/>
      <c r="AI954" s="221"/>
    </row>
    <row r="955" ht="15.75" customHeight="1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  <c r="AB955" s="221"/>
      <c r="AC955" s="221"/>
      <c r="AD955" s="221"/>
      <c r="AE955" s="221"/>
      <c r="AF955" s="221"/>
      <c r="AG955" s="221"/>
      <c r="AH955" s="221"/>
      <c r="AI955" s="221"/>
    </row>
    <row r="956" ht="15.75" customHeight="1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  <c r="AB956" s="221"/>
      <c r="AC956" s="221"/>
      <c r="AD956" s="221"/>
      <c r="AE956" s="221"/>
      <c r="AF956" s="221"/>
      <c r="AG956" s="221"/>
      <c r="AH956" s="221"/>
      <c r="AI956" s="221"/>
    </row>
    <row r="957" ht="15.75" customHeight="1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  <c r="AB957" s="221"/>
      <c r="AC957" s="221"/>
      <c r="AD957" s="221"/>
      <c r="AE957" s="221"/>
      <c r="AF957" s="221"/>
      <c r="AG957" s="221"/>
      <c r="AH957" s="221"/>
      <c r="AI957" s="221"/>
    </row>
    <row r="958" ht="15.75" customHeight="1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  <c r="AB958" s="221"/>
      <c r="AC958" s="221"/>
      <c r="AD958" s="221"/>
      <c r="AE958" s="221"/>
      <c r="AF958" s="221"/>
      <c r="AG958" s="221"/>
      <c r="AH958" s="221"/>
      <c r="AI958" s="221"/>
    </row>
    <row r="959" ht="15.75" customHeight="1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  <c r="AB959" s="221"/>
      <c r="AC959" s="221"/>
      <c r="AD959" s="221"/>
      <c r="AE959" s="221"/>
      <c r="AF959" s="221"/>
      <c r="AG959" s="221"/>
      <c r="AH959" s="221"/>
      <c r="AI959" s="221"/>
    </row>
    <row r="960" ht="15.75" customHeight="1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  <c r="AB960" s="221"/>
      <c r="AC960" s="221"/>
      <c r="AD960" s="221"/>
      <c r="AE960" s="221"/>
      <c r="AF960" s="221"/>
      <c r="AG960" s="221"/>
      <c r="AH960" s="221"/>
      <c r="AI960" s="221"/>
    </row>
    <row r="961" ht="15.75" customHeight="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  <c r="AB961" s="221"/>
      <c r="AC961" s="221"/>
      <c r="AD961" s="221"/>
      <c r="AE961" s="221"/>
      <c r="AF961" s="221"/>
      <c r="AG961" s="221"/>
      <c r="AH961" s="221"/>
      <c r="AI961" s="221"/>
    </row>
    <row r="962" ht="15.75" customHeight="1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  <c r="AB962" s="221"/>
      <c r="AC962" s="221"/>
      <c r="AD962" s="221"/>
      <c r="AE962" s="221"/>
      <c r="AF962" s="221"/>
      <c r="AG962" s="221"/>
      <c r="AH962" s="221"/>
      <c r="AI962" s="221"/>
    </row>
    <row r="963" ht="15.75" customHeight="1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  <c r="AB963" s="221"/>
      <c r="AC963" s="221"/>
      <c r="AD963" s="221"/>
      <c r="AE963" s="221"/>
      <c r="AF963" s="221"/>
      <c r="AG963" s="221"/>
      <c r="AH963" s="221"/>
      <c r="AI963" s="221"/>
    </row>
    <row r="964" ht="15.75" customHeight="1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  <c r="AB964" s="221"/>
      <c r="AC964" s="221"/>
      <c r="AD964" s="221"/>
      <c r="AE964" s="221"/>
      <c r="AF964" s="221"/>
      <c r="AG964" s="221"/>
      <c r="AH964" s="221"/>
      <c r="AI964" s="221"/>
    </row>
    <row r="965" ht="15.75" customHeight="1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  <c r="AB965" s="221"/>
      <c r="AC965" s="221"/>
      <c r="AD965" s="221"/>
      <c r="AE965" s="221"/>
      <c r="AF965" s="221"/>
      <c r="AG965" s="221"/>
      <c r="AH965" s="221"/>
      <c r="AI965" s="221"/>
    </row>
    <row r="966" ht="15.75" customHeight="1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  <c r="AB966" s="221"/>
      <c r="AC966" s="221"/>
      <c r="AD966" s="221"/>
      <c r="AE966" s="221"/>
      <c r="AF966" s="221"/>
      <c r="AG966" s="221"/>
      <c r="AH966" s="221"/>
      <c r="AI966" s="221"/>
    </row>
    <row r="967" ht="15.75" customHeight="1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  <c r="AB967" s="221"/>
      <c r="AC967" s="221"/>
      <c r="AD967" s="221"/>
      <c r="AE967" s="221"/>
      <c r="AF967" s="221"/>
      <c r="AG967" s="221"/>
      <c r="AH967" s="221"/>
      <c r="AI967" s="221"/>
    </row>
    <row r="968" ht="15.75" customHeight="1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  <c r="AB968" s="221"/>
      <c r="AC968" s="221"/>
      <c r="AD968" s="221"/>
      <c r="AE968" s="221"/>
      <c r="AF968" s="221"/>
      <c r="AG968" s="221"/>
      <c r="AH968" s="221"/>
      <c r="AI968" s="221"/>
    </row>
    <row r="969" ht="15.75" customHeight="1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  <c r="AB969" s="221"/>
      <c r="AC969" s="221"/>
      <c r="AD969" s="221"/>
      <c r="AE969" s="221"/>
      <c r="AF969" s="221"/>
      <c r="AG969" s="221"/>
      <c r="AH969" s="221"/>
      <c r="AI969" s="221"/>
    </row>
    <row r="970" ht="15.75" customHeight="1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  <c r="AB970" s="221"/>
      <c r="AC970" s="221"/>
      <c r="AD970" s="221"/>
      <c r="AE970" s="221"/>
      <c r="AF970" s="221"/>
      <c r="AG970" s="221"/>
      <c r="AH970" s="221"/>
      <c r="AI970" s="221"/>
    </row>
    <row r="971" ht="15.75" customHeight="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  <c r="AB971" s="221"/>
      <c r="AC971" s="221"/>
      <c r="AD971" s="221"/>
      <c r="AE971" s="221"/>
      <c r="AF971" s="221"/>
      <c r="AG971" s="221"/>
      <c r="AH971" s="221"/>
      <c r="AI971" s="221"/>
    </row>
    <row r="972" ht="15.75" customHeight="1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  <c r="AB972" s="221"/>
      <c r="AC972" s="221"/>
      <c r="AD972" s="221"/>
      <c r="AE972" s="221"/>
      <c r="AF972" s="221"/>
      <c r="AG972" s="221"/>
      <c r="AH972" s="221"/>
      <c r="AI972" s="221"/>
    </row>
    <row r="973" ht="15.75" customHeight="1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  <c r="AB973" s="221"/>
      <c r="AC973" s="221"/>
      <c r="AD973" s="221"/>
      <c r="AE973" s="221"/>
      <c r="AF973" s="221"/>
      <c r="AG973" s="221"/>
      <c r="AH973" s="221"/>
      <c r="AI973" s="221"/>
    </row>
    <row r="974" ht="15.75" customHeight="1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  <c r="AB974" s="221"/>
      <c r="AC974" s="221"/>
      <c r="AD974" s="221"/>
      <c r="AE974" s="221"/>
      <c r="AF974" s="221"/>
      <c r="AG974" s="221"/>
      <c r="AH974" s="221"/>
      <c r="AI974" s="221"/>
    </row>
    <row r="975" ht="15.75" customHeight="1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  <c r="AB975" s="221"/>
      <c r="AC975" s="221"/>
      <c r="AD975" s="221"/>
      <c r="AE975" s="221"/>
      <c r="AF975" s="221"/>
      <c r="AG975" s="221"/>
      <c r="AH975" s="221"/>
      <c r="AI975" s="221"/>
    </row>
    <row r="976" ht="15.75" customHeight="1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  <c r="AB976" s="221"/>
      <c r="AC976" s="221"/>
      <c r="AD976" s="221"/>
      <c r="AE976" s="221"/>
      <c r="AF976" s="221"/>
      <c r="AG976" s="221"/>
      <c r="AH976" s="221"/>
      <c r="AI976" s="221"/>
    </row>
    <row r="977" ht="15.75" customHeight="1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  <c r="AB977" s="221"/>
      <c r="AC977" s="221"/>
      <c r="AD977" s="221"/>
      <c r="AE977" s="221"/>
      <c r="AF977" s="221"/>
      <c r="AG977" s="221"/>
      <c r="AH977" s="221"/>
      <c r="AI977" s="221"/>
    </row>
    <row r="978" ht="15.75" customHeight="1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  <c r="AB978" s="221"/>
      <c r="AC978" s="221"/>
      <c r="AD978" s="221"/>
      <c r="AE978" s="221"/>
      <c r="AF978" s="221"/>
      <c r="AG978" s="221"/>
      <c r="AH978" s="221"/>
      <c r="AI978" s="221"/>
    </row>
    <row r="979" ht="15.75" customHeight="1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  <c r="AB979" s="221"/>
      <c r="AC979" s="221"/>
      <c r="AD979" s="221"/>
      <c r="AE979" s="221"/>
      <c r="AF979" s="221"/>
      <c r="AG979" s="221"/>
      <c r="AH979" s="221"/>
      <c r="AI979" s="221"/>
    </row>
    <row r="980" ht="15.75" customHeight="1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  <c r="AB980" s="221"/>
      <c r="AC980" s="221"/>
      <c r="AD980" s="221"/>
      <c r="AE980" s="221"/>
      <c r="AF980" s="221"/>
      <c r="AG980" s="221"/>
      <c r="AH980" s="221"/>
      <c r="AI980" s="221"/>
    </row>
    <row r="981" ht="15.75" customHeight="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  <c r="AB981" s="221"/>
      <c r="AC981" s="221"/>
      <c r="AD981" s="221"/>
      <c r="AE981" s="221"/>
      <c r="AF981" s="221"/>
      <c r="AG981" s="221"/>
      <c r="AH981" s="221"/>
      <c r="AI981" s="221"/>
    </row>
    <row r="982" ht="15.75" customHeight="1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  <c r="AB982" s="221"/>
      <c r="AC982" s="221"/>
      <c r="AD982" s="221"/>
      <c r="AE982" s="221"/>
      <c r="AF982" s="221"/>
      <c r="AG982" s="221"/>
      <c r="AH982" s="221"/>
      <c r="AI982" s="221"/>
    </row>
    <row r="983" ht="15.75" customHeight="1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  <c r="AB983" s="221"/>
      <c r="AC983" s="221"/>
      <c r="AD983" s="221"/>
      <c r="AE983" s="221"/>
      <c r="AF983" s="221"/>
      <c r="AG983" s="221"/>
      <c r="AH983" s="221"/>
      <c r="AI983" s="221"/>
    </row>
    <row r="984" ht="15.75" customHeight="1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  <c r="AB984" s="221"/>
      <c r="AC984" s="221"/>
      <c r="AD984" s="221"/>
      <c r="AE984" s="221"/>
      <c r="AF984" s="221"/>
      <c r="AG984" s="221"/>
      <c r="AH984" s="221"/>
      <c r="AI984" s="221"/>
    </row>
    <row r="985" ht="15.75" customHeight="1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  <c r="AB985" s="221"/>
      <c r="AC985" s="221"/>
      <c r="AD985" s="221"/>
      <c r="AE985" s="221"/>
      <c r="AF985" s="221"/>
      <c r="AG985" s="221"/>
      <c r="AH985" s="221"/>
      <c r="AI985" s="221"/>
    </row>
    <row r="986" ht="15.75" customHeight="1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  <c r="AB986" s="221"/>
      <c r="AC986" s="221"/>
      <c r="AD986" s="221"/>
      <c r="AE986" s="221"/>
      <c r="AF986" s="221"/>
      <c r="AG986" s="221"/>
      <c r="AH986" s="221"/>
      <c r="AI986" s="221"/>
    </row>
    <row r="987" ht="15.75" customHeight="1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  <c r="AB987" s="221"/>
      <c r="AC987" s="221"/>
      <c r="AD987" s="221"/>
      <c r="AE987" s="221"/>
      <c r="AF987" s="221"/>
      <c r="AG987" s="221"/>
      <c r="AH987" s="221"/>
      <c r="AI987" s="221"/>
    </row>
    <row r="988" ht="15.75" customHeight="1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  <c r="AB988" s="221"/>
      <c r="AC988" s="221"/>
      <c r="AD988" s="221"/>
      <c r="AE988" s="221"/>
      <c r="AF988" s="221"/>
      <c r="AG988" s="221"/>
      <c r="AH988" s="221"/>
      <c r="AI988" s="221"/>
    </row>
    <row r="989" ht="15.75" customHeight="1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  <c r="AB989" s="221"/>
      <c r="AC989" s="221"/>
      <c r="AD989" s="221"/>
      <c r="AE989" s="221"/>
      <c r="AF989" s="221"/>
      <c r="AG989" s="221"/>
      <c r="AH989" s="221"/>
      <c r="AI989" s="221"/>
    </row>
    <row r="990" ht="15.75" customHeight="1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  <c r="AB990" s="221"/>
      <c r="AC990" s="221"/>
      <c r="AD990" s="221"/>
      <c r="AE990" s="221"/>
      <c r="AF990" s="221"/>
      <c r="AG990" s="221"/>
      <c r="AH990" s="221"/>
      <c r="AI990" s="221"/>
    </row>
    <row r="991" ht="15.75" customHeight="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  <c r="AB991" s="221"/>
      <c r="AC991" s="221"/>
      <c r="AD991" s="221"/>
      <c r="AE991" s="221"/>
      <c r="AF991" s="221"/>
      <c r="AG991" s="221"/>
      <c r="AH991" s="221"/>
      <c r="AI991" s="221"/>
    </row>
    <row r="992" ht="15.75" customHeight="1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  <c r="AB992" s="221"/>
      <c r="AC992" s="221"/>
      <c r="AD992" s="221"/>
      <c r="AE992" s="221"/>
      <c r="AF992" s="221"/>
      <c r="AG992" s="221"/>
      <c r="AH992" s="221"/>
      <c r="AI992" s="221"/>
    </row>
    <row r="993" ht="15.75" customHeight="1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  <c r="AB993" s="221"/>
      <c r="AC993" s="221"/>
      <c r="AD993" s="221"/>
      <c r="AE993" s="221"/>
      <c r="AF993" s="221"/>
      <c r="AG993" s="221"/>
      <c r="AH993" s="221"/>
      <c r="AI993" s="221"/>
    </row>
    <row r="994" ht="15.75" customHeight="1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  <c r="AB994" s="221"/>
      <c r="AC994" s="221"/>
      <c r="AD994" s="221"/>
      <c r="AE994" s="221"/>
      <c r="AF994" s="221"/>
      <c r="AG994" s="221"/>
      <c r="AH994" s="221"/>
      <c r="AI994" s="221"/>
    </row>
    <row r="995" ht="15.75" customHeight="1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  <c r="AB995" s="221"/>
      <c r="AC995" s="221"/>
      <c r="AD995" s="221"/>
      <c r="AE995" s="221"/>
      <c r="AF995" s="221"/>
      <c r="AG995" s="221"/>
      <c r="AH995" s="221"/>
      <c r="AI995" s="221"/>
    </row>
    <row r="996" ht="15.75" customHeight="1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  <c r="AB996" s="221"/>
      <c r="AC996" s="221"/>
      <c r="AD996" s="221"/>
      <c r="AE996" s="221"/>
      <c r="AF996" s="221"/>
      <c r="AG996" s="221"/>
      <c r="AH996" s="221"/>
      <c r="AI996" s="221"/>
    </row>
    <row r="997" ht="15.75" customHeight="1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  <c r="AB997" s="221"/>
      <c r="AC997" s="221"/>
      <c r="AD997" s="221"/>
      <c r="AE997" s="221"/>
      <c r="AF997" s="221"/>
      <c r="AG997" s="221"/>
      <c r="AH997" s="221"/>
      <c r="AI997" s="221"/>
    </row>
    <row r="998" ht="15.75" customHeight="1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  <c r="AB998" s="221"/>
      <c r="AC998" s="221"/>
      <c r="AD998" s="221"/>
      <c r="AE998" s="221"/>
      <c r="AF998" s="221"/>
      <c r="AG998" s="221"/>
      <c r="AH998" s="221"/>
      <c r="AI998" s="221"/>
    </row>
    <row r="999" ht="15.75" customHeight="1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  <c r="AB999" s="221"/>
      <c r="AC999" s="221"/>
      <c r="AD999" s="221"/>
      <c r="AE999" s="221"/>
      <c r="AF999" s="221"/>
      <c r="AG999" s="221"/>
      <c r="AH999" s="221"/>
      <c r="AI999" s="221"/>
    </row>
    <row r="1000" ht="15.75" customHeight="1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  <c r="AB1000" s="221"/>
      <c r="AC1000" s="221"/>
      <c r="AD1000" s="221"/>
      <c r="AE1000" s="221"/>
      <c r="AF1000" s="221"/>
      <c r="AG1000" s="221"/>
      <c r="AH1000" s="221"/>
      <c r="AI1000" s="221"/>
    </row>
  </sheetData>
  <mergeCells count="21">
    <mergeCell ref="C5:W5"/>
    <mergeCell ref="M10:O10"/>
    <mergeCell ref="M11:O12"/>
    <mergeCell ref="M14:O14"/>
    <mergeCell ref="M15:O16"/>
    <mergeCell ref="E18:G18"/>
    <mergeCell ref="E19:G20"/>
    <mergeCell ref="R29:T30"/>
    <mergeCell ref="R32:T32"/>
    <mergeCell ref="R33:T34"/>
    <mergeCell ref="R36:T36"/>
    <mergeCell ref="R37:T38"/>
    <mergeCell ref="Q40:V41"/>
    <mergeCell ref="P42:Q42"/>
    <mergeCell ref="M19:O19"/>
    <mergeCell ref="R19:T19"/>
    <mergeCell ref="M20:O21"/>
    <mergeCell ref="R20:T21"/>
    <mergeCell ref="R24:T24"/>
    <mergeCell ref="R25:T26"/>
    <mergeCell ref="R28:T28"/>
  </mergeCells>
  <printOptions/>
  <pageMargins bottom="0.75" footer="0.0" header="0.0" left="0.7" right="0.7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5.5"/>
    <col customWidth="1" min="3" max="3" width="39.25"/>
    <col customWidth="1" min="4" max="4" width="79.88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</row>
    <row r="2">
      <c r="A2" s="271"/>
      <c r="B2" s="272" t="s">
        <v>54</v>
      </c>
      <c r="C2" s="272" t="s">
        <v>329</v>
      </c>
      <c r="D2" s="272" t="s">
        <v>330</v>
      </c>
      <c r="E2" s="270"/>
      <c r="F2" s="270"/>
      <c r="G2" s="270"/>
      <c r="H2" s="270"/>
      <c r="I2" s="270"/>
      <c r="J2" s="270"/>
      <c r="K2" s="270"/>
    </row>
    <row r="3" ht="63.75" customHeight="1">
      <c r="A3" s="273"/>
      <c r="B3" s="274">
        <v>1.0</v>
      </c>
      <c r="C3" s="275" t="s">
        <v>331</v>
      </c>
      <c r="D3" s="276" t="s">
        <v>332</v>
      </c>
      <c r="E3" s="270"/>
      <c r="F3" s="270"/>
      <c r="G3" s="270"/>
      <c r="H3" s="270"/>
      <c r="I3" s="270"/>
      <c r="J3" s="270"/>
      <c r="K3" s="270"/>
    </row>
    <row r="4" ht="26.25" customHeight="1">
      <c r="A4" s="273"/>
      <c r="B4" s="274">
        <v>2.0</v>
      </c>
      <c r="C4" s="275" t="s">
        <v>9</v>
      </c>
      <c r="D4" s="276"/>
      <c r="E4" s="270"/>
      <c r="F4" s="270"/>
      <c r="G4" s="270"/>
      <c r="H4" s="270"/>
      <c r="I4" s="270"/>
      <c r="J4" s="270"/>
      <c r="K4" s="270"/>
    </row>
    <row r="5" ht="26.25" customHeight="1">
      <c r="A5" s="273"/>
      <c r="B5" s="274">
        <v>3.0</v>
      </c>
      <c r="C5" s="275" t="s">
        <v>333</v>
      </c>
      <c r="D5" s="276"/>
      <c r="E5" s="270"/>
      <c r="F5" s="270"/>
      <c r="G5" s="270"/>
      <c r="H5" s="270"/>
      <c r="I5" s="270"/>
      <c r="J5" s="270"/>
      <c r="K5" s="270"/>
    </row>
    <row r="6" ht="26.25" customHeight="1">
      <c r="A6" s="273"/>
      <c r="B6" s="274">
        <v>4.0</v>
      </c>
      <c r="C6" s="275" t="s">
        <v>11</v>
      </c>
      <c r="D6" s="276"/>
      <c r="E6" s="270"/>
      <c r="F6" s="270"/>
      <c r="G6" s="270"/>
      <c r="H6" s="270"/>
      <c r="I6" s="270"/>
      <c r="J6" s="270"/>
      <c r="K6" s="270"/>
    </row>
    <row r="7" ht="26.25" customHeight="1">
      <c r="A7" s="273"/>
      <c r="B7" s="274">
        <v>5.0</v>
      </c>
      <c r="C7" s="275" t="s">
        <v>12</v>
      </c>
      <c r="D7" s="276"/>
      <c r="E7" s="270"/>
      <c r="F7" s="270"/>
      <c r="G7" s="270"/>
      <c r="H7" s="270"/>
      <c r="I7" s="270"/>
      <c r="J7" s="270"/>
      <c r="K7" s="270"/>
    </row>
    <row r="8" ht="26.25" customHeight="1">
      <c r="A8" s="273"/>
      <c r="B8" s="274">
        <v>6.0</v>
      </c>
      <c r="C8" s="275" t="s">
        <v>334</v>
      </c>
      <c r="D8" s="276"/>
      <c r="E8" s="270"/>
      <c r="F8" s="270"/>
      <c r="G8" s="270"/>
      <c r="H8" s="270"/>
      <c r="I8" s="270"/>
      <c r="J8" s="270"/>
      <c r="K8" s="270"/>
    </row>
    <row r="9" ht="26.25" customHeight="1">
      <c r="A9" s="273"/>
      <c r="B9" s="274">
        <v>7.0</v>
      </c>
      <c r="C9" s="275" t="s">
        <v>335</v>
      </c>
      <c r="D9" s="276" t="s">
        <v>336</v>
      </c>
      <c r="E9" s="270"/>
      <c r="F9" s="270"/>
      <c r="G9" s="270"/>
      <c r="H9" s="270"/>
      <c r="I9" s="270"/>
      <c r="J9" s="270"/>
      <c r="K9" s="270"/>
    </row>
    <row r="10" ht="39.0" customHeight="1">
      <c r="A10" s="273"/>
      <c r="B10" s="274">
        <v>8.0</v>
      </c>
      <c r="C10" s="275" t="s">
        <v>337</v>
      </c>
      <c r="D10" s="276" t="s">
        <v>338</v>
      </c>
      <c r="E10" s="270"/>
      <c r="F10" s="270"/>
      <c r="G10" s="270"/>
      <c r="H10" s="270"/>
      <c r="I10" s="270"/>
      <c r="J10" s="270"/>
      <c r="K10" s="270"/>
    </row>
    <row r="11" ht="26.25" customHeight="1">
      <c r="A11" s="273"/>
      <c r="B11" s="274">
        <v>9.0</v>
      </c>
      <c r="C11" s="275" t="s">
        <v>339</v>
      </c>
      <c r="D11" s="276" t="s">
        <v>340</v>
      </c>
      <c r="E11" s="270"/>
      <c r="F11" s="270"/>
      <c r="G11" s="270"/>
      <c r="H11" s="270"/>
      <c r="I11" s="270"/>
      <c r="J11" s="270"/>
      <c r="K11" s="270"/>
    </row>
    <row r="12" ht="26.25" customHeight="1">
      <c r="A12" s="273"/>
      <c r="B12" s="274">
        <v>10.0</v>
      </c>
      <c r="C12" s="275" t="s">
        <v>341</v>
      </c>
      <c r="D12" s="276" t="s">
        <v>342</v>
      </c>
      <c r="E12" s="270"/>
      <c r="F12" s="270"/>
      <c r="G12" s="270"/>
      <c r="H12" s="270"/>
      <c r="I12" s="270"/>
      <c r="J12" s="270"/>
      <c r="K12" s="270"/>
    </row>
    <row r="13" ht="26.25" customHeight="1">
      <c r="A13" s="273"/>
      <c r="B13" s="274">
        <v>11.0</v>
      </c>
      <c r="C13" s="275" t="s">
        <v>343</v>
      </c>
      <c r="D13" s="276"/>
      <c r="E13" s="270"/>
      <c r="F13" s="270"/>
      <c r="G13" s="270"/>
      <c r="H13" s="270"/>
      <c r="I13" s="270"/>
      <c r="J13" s="270"/>
      <c r="K13" s="270"/>
    </row>
    <row r="14" ht="26.25" customHeight="1">
      <c r="A14" s="273"/>
      <c r="B14" s="274">
        <v>12.0</v>
      </c>
      <c r="C14" s="275" t="s">
        <v>344</v>
      </c>
      <c r="D14" s="276"/>
      <c r="E14" s="270"/>
      <c r="F14" s="270"/>
      <c r="G14" s="270"/>
      <c r="H14" s="270"/>
      <c r="I14" s="270"/>
      <c r="J14" s="270"/>
      <c r="K14" s="270"/>
    </row>
    <row r="15">
      <c r="A15" s="273"/>
      <c r="B15" s="274">
        <v>13.0</v>
      </c>
      <c r="C15" s="275" t="s">
        <v>345</v>
      </c>
      <c r="D15" s="276" t="s">
        <v>346</v>
      </c>
      <c r="E15" s="270"/>
      <c r="F15" s="270"/>
      <c r="G15" s="270"/>
      <c r="H15" s="270"/>
      <c r="I15" s="270"/>
      <c r="J15" s="270"/>
      <c r="K15" s="270"/>
    </row>
    <row r="16">
      <c r="A16" s="273"/>
      <c r="B16" s="274">
        <v>14.0</v>
      </c>
      <c r="C16" s="275" t="s">
        <v>347</v>
      </c>
      <c r="D16" s="276"/>
      <c r="E16" s="270"/>
      <c r="F16" s="270"/>
      <c r="G16" s="270"/>
      <c r="H16" s="270"/>
      <c r="I16" s="270"/>
      <c r="J16" s="270"/>
      <c r="K16" s="270"/>
    </row>
    <row r="17">
      <c r="A17" s="273"/>
      <c r="B17" s="274">
        <v>15.0</v>
      </c>
      <c r="C17" s="275" t="s">
        <v>348</v>
      </c>
      <c r="D17" s="276" t="s">
        <v>349</v>
      </c>
      <c r="E17" s="270"/>
      <c r="F17" s="270"/>
      <c r="G17" s="270"/>
      <c r="H17" s="270"/>
      <c r="I17" s="270"/>
      <c r="J17" s="270"/>
      <c r="K17" s="270"/>
    </row>
    <row r="18" ht="69.75" customHeight="1">
      <c r="A18" s="273"/>
      <c r="B18" s="274">
        <v>16.0</v>
      </c>
      <c r="C18" s="275" t="s">
        <v>350</v>
      </c>
      <c r="D18" s="276" t="s">
        <v>351</v>
      </c>
      <c r="E18" s="270"/>
      <c r="F18" s="270"/>
      <c r="G18" s="270"/>
      <c r="H18" s="270"/>
      <c r="I18" s="270"/>
      <c r="J18" s="270"/>
      <c r="K18" s="270"/>
    </row>
    <row r="19">
      <c r="A19" s="270"/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>
      <c r="A20" s="270"/>
      <c r="B20" s="271" t="s">
        <v>352</v>
      </c>
      <c r="C20" s="270"/>
      <c r="D20" s="270"/>
      <c r="E20" s="270"/>
      <c r="F20" s="270"/>
      <c r="G20" s="270"/>
      <c r="H20" s="270"/>
      <c r="I20" s="270"/>
      <c r="J20" s="270"/>
      <c r="K20" s="270"/>
    </row>
    <row r="21">
      <c r="A21" s="270"/>
      <c r="B21" s="272" t="s">
        <v>54</v>
      </c>
      <c r="C21" s="272" t="s">
        <v>353</v>
      </c>
      <c r="D21" s="272" t="s">
        <v>354</v>
      </c>
      <c r="E21" s="270"/>
      <c r="F21" s="270"/>
      <c r="G21" s="270"/>
      <c r="H21" s="270"/>
      <c r="I21" s="270"/>
      <c r="J21" s="270"/>
      <c r="K21" s="270"/>
    </row>
    <row r="22">
      <c r="A22" s="270"/>
      <c r="B22" s="274">
        <v>1.0</v>
      </c>
      <c r="C22" s="275" t="s">
        <v>355</v>
      </c>
      <c r="D22" s="276" t="s">
        <v>356</v>
      </c>
      <c r="E22" s="270"/>
      <c r="F22" s="270"/>
      <c r="G22" s="270"/>
      <c r="H22" s="270"/>
      <c r="I22" s="270"/>
      <c r="J22" s="270"/>
      <c r="K22" s="270"/>
    </row>
    <row r="23">
      <c r="A23" s="270"/>
      <c r="B23" s="274">
        <v>1.0</v>
      </c>
      <c r="C23" s="275" t="s">
        <v>357</v>
      </c>
      <c r="D23" s="276" t="s">
        <v>358</v>
      </c>
      <c r="E23" s="270"/>
      <c r="F23" s="270"/>
      <c r="G23" s="270"/>
      <c r="H23" s="270"/>
      <c r="I23" s="270"/>
      <c r="J23" s="270"/>
      <c r="K23" s="270"/>
    </row>
    <row r="24">
      <c r="A24" s="270"/>
      <c r="B24" s="274">
        <v>1.0</v>
      </c>
      <c r="C24" s="275" t="s">
        <v>359</v>
      </c>
      <c r="D24" s="276" t="s">
        <v>360</v>
      </c>
      <c r="E24" s="270"/>
      <c r="F24" s="270"/>
      <c r="G24" s="270"/>
      <c r="H24" s="270"/>
      <c r="I24" s="270"/>
      <c r="J24" s="270"/>
      <c r="K24" s="270"/>
    </row>
    <row r="25">
      <c r="A25" s="270"/>
      <c r="B25" s="274">
        <v>1.0</v>
      </c>
      <c r="C25" s="275" t="s">
        <v>361</v>
      </c>
      <c r="D25" s="276" t="s">
        <v>362</v>
      </c>
      <c r="E25" s="270"/>
      <c r="F25" s="270"/>
      <c r="G25" s="270"/>
      <c r="H25" s="270"/>
      <c r="I25" s="270"/>
      <c r="J25" s="270"/>
      <c r="K25" s="270"/>
    </row>
    <row r="26">
      <c r="A26" s="270"/>
      <c r="B26" s="274">
        <v>1.0</v>
      </c>
      <c r="C26" s="275" t="s">
        <v>363</v>
      </c>
      <c r="D26" s="276" t="s">
        <v>364</v>
      </c>
      <c r="E26" s="270"/>
      <c r="F26" s="270"/>
      <c r="G26" s="270"/>
      <c r="H26" s="270"/>
      <c r="I26" s="270"/>
      <c r="J26" s="270"/>
      <c r="K26" s="270"/>
    </row>
    <row r="27">
      <c r="A27" s="270"/>
      <c r="B27" s="274">
        <v>1.0</v>
      </c>
      <c r="C27" s="275" t="s">
        <v>365</v>
      </c>
      <c r="D27" s="276" t="s">
        <v>366</v>
      </c>
      <c r="E27" s="270"/>
      <c r="F27" s="270"/>
      <c r="G27" s="270"/>
      <c r="H27" s="270"/>
      <c r="I27" s="270"/>
      <c r="J27" s="270"/>
      <c r="K27" s="270"/>
    </row>
    <row r="28">
      <c r="A28" s="270"/>
      <c r="B28" s="274">
        <v>1.0</v>
      </c>
      <c r="C28" s="275" t="s">
        <v>16</v>
      </c>
      <c r="D28" s="276" t="s">
        <v>367</v>
      </c>
      <c r="E28" s="270"/>
      <c r="F28" s="270"/>
      <c r="G28" s="270"/>
      <c r="H28" s="270"/>
      <c r="I28" s="270"/>
      <c r="J28" s="270"/>
      <c r="K28" s="270"/>
    </row>
    <row r="29">
      <c r="A29" s="270"/>
      <c r="B29" s="274">
        <v>1.0</v>
      </c>
      <c r="C29" s="275" t="s">
        <v>368</v>
      </c>
      <c r="D29" s="276" t="s">
        <v>369</v>
      </c>
      <c r="E29" s="270"/>
      <c r="F29" s="270"/>
      <c r="G29" s="270"/>
      <c r="H29" s="270"/>
      <c r="I29" s="270"/>
      <c r="J29" s="270"/>
      <c r="K29" s="270"/>
    </row>
    <row r="30">
      <c r="A30" s="270"/>
      <c r="B30" s="274">
        <v>1.0</v>
      </c>
      <c r="C30" s="275" t="s">
        <v>370</v>
      </c>
      <c r="D30" s="276" t="s">
        <v>371</v>
      </c>
      <c r="E30" s="270"/>
      <c r="F30" s="270"/>
      <c r="G30" s="270"/>
      <c r="H30" s="270"/>
      <c r="I30" s="270"/>
      <c r="J30" s="270"/>
      <c r="K30" s="270"/>
    </row>
    <row r="31">
      <c r="A31" s="270"/>
      <c r="B31" s="277"/>
      <c r="C31" s="278"/>
      <c r="D31" s="279"/>
      <c r="E31" s="270"/>
      <c r="F31" s="270"/>
      <c r="G31" s="270"/>
      <c r="H31" s="270"/>
      <c r="I31" s="270"/>
      <c r="J31" s="270"/>
      <c r="K31" s="270"/>
    </row>
    <row r="32">
      <c r="A32" s="270"/>
      <c r="B32" s="277"/>
      <c r="C32" s="278"/>
      <c r="D32" s="279"/>
      <c r="E32" s="270"/>
      <c r="F32" s="270"/>
      <c r="G32" s="270"/>
      <c r="H32" s="270"/>
      <c r="I32" s="270"/>
      <c r="J32" s="270"/>
      <c r="K32" s="270"/>
    </row>
    <row r="33">
      <c r="A33" s="270"/>
      <c r="B33" s="271" t="s">
        <v>372</v>
      </c>
      <c r="C33" s="270"/>
      <c r="D33" s="270"/>
      <c r="E33" s="270"/>
      <c r="F33" s="270"/>
      <c r="G33" s="270"/>
      <c r="H33" s="270"/>
      <c r="I33" s="270"/>
      <c r="J33" s="270"/>
      <c r="K33" s="270"/>
    </row>
    <row r="34">
      <c r="A34" s="270"/>
      <c r="B34" s="272" t="s">
        <v>54</v>
      </c>
      <c r="C34" s="272" t="s">
        <v>353</v>
      </c>
      <c r="D34" s="272" t="s">
        <v>354</v>
      </c>
      <c r="E34" s="270"/>
      <c r="F34" s="270"/>
      <c r="G34" s="270"/>
      <c r="H34" s="270"/>
      <c r="I34" s="270"/>
      <c r="J34" s="270"/>
      <c r="K34" s="270"/>
    </row>
    <row r="35">
      <c r="A35" s="270"/>
      <c r="B35" s="274">
        <v>1.0</v>
      </c>
      <c r="C35" s="275" t="s">
        <v>355</v>
      </c>
      <c r="D35" s="276" t="s">
        <v>373</v>
      </c>
      <c r="E35" s="270"/>
      <c r="F35" s="270"/>
      <c r="G35" s="270"/>
      <c r="H35" s="270"/>
      <c r="I35" s="270"/>
      <c r="J35" s="270"/>
      <c r="K35" s="270"/>
    </row>
    <row r="36">
      <c r="A36" s="270"/>
      <c r="B36" s="274">
        <v>1.0</v>
      </c>
      <c r="C36" s="275" t="s">
        <v>357</v>
      </c>
      <c r="D36" s="276" t="s">
        <v>374</v>
      </c>
      <c r="E36" s="270"/>
      <c r="F36" s="270"/>
      <c r="G36" s="270"/>
      <c r="H36" s="270"/>
      <c r="I36" s="270"/>
      <c r="J36" s="270"/>
      <c r="K36" s="270"/>
    </row>
    <row r="37">
      <c r="A37" s="270"/>
      <c r="B37" s="274">
        <v>1.0</v>
      </c>
      <c r="C37" s="275" t="s">
        <v>359</v>
      </c>
      <c r="D37" s="276" t="s">
        <v>375</v>
      </c>
      <c r="E37" s="270"/>
      <c r="F37" s="270"/>
      <c r="G37" s="270"/>
      <c r="H37" s="270"/>
      <c r="I37" s="270"/>
      <c r="J37" s="270"/>
      <c r="K37" s="270"/>
    </row>
    <row r="38">
      <c r="A38" s="270"/>
      <c r="B38" s="274">
        <v>1.0</v>
      </c>
      <c r="C38" s="275" t="s">
        <v>361</v>
      </c>
      <c r="D38" s="276" t="s">
        <v>376</v>
      </c>
      <c r="E38" s="270"/>
      <c r="F38" s="270"/>
      <c r="G38" s="270"/>
      <c r="H38" s="270"/>
      <c r="I38" s="270"/>
      <c r="J38" s="270"/>
      <c r="K38" s="270"/>
    </row>
    <row r="39">
      <c r="A39" s="270"/>
      <c r="B39" s="274">
        <v>1.0</v>
      </c>
      <c r="C39" s="275" t="s">
        <v>363</v>
      </c>
      <c r="D39" s="276" t="s">
        <v>377</v>
      </c>
      <c r="E39" s="270"/>
      <c r="F39" s="270"/>
      <c r="G39" s="270"/>
      <c r="H39" s="270"/>
      <c r="I39" s="270"/>
      <c r="J39" s="270"/>
      <c r="K39" s="270"/>
    </row>
    <row r="40">
      <c r="A40" s="270"/>
      <c r="B40" s="274">
        <v>1.0</v>
      </c>
      <c r="C40" s="275" t="s">
        <v>365</v>
      </c>
      <c r="D40" s="276" t="s">
        <v>378</v>
      </c>
      <c r="E40" s="270"/>
      <c r="F40" s="270"/>
      <c r="G40" s="270"/>
      <c r="H40" s="270"/>
      <c r="I40" s="270"/>
      <c r="J40" s="270"/>
      <c r="K40" s="270"/>
    </row>
    <row r="41">
      <c r="A41" s="270"/>
      <c r="B41" s="274">
        <v>1.0</v>
      </c>
      <c r="C41" s="275" t="s">
        <v>16</v>
      </c>
      <c r="D41" s="276" t="s">
        <v>379</v>
      </c>
      <c r="E41" s="270"/>
      <c r="F41" s="270"/>
      <c r="G41" s="270"/>
      <c r="H41" s="270"/>
      <c r="I41" s="270"/>
      <c r="J41" s="270"/>
      <c r="K41" s="270"/>
    </row>
    <row r="42">
      <c r="A42" s="270"/>
      <c r="B42" s="274">
        <v>1.0</v>
      </c>
      <c r="C42" s="275" t="s">
        <v>368</v>
      </c>
      <c r="D42" s="276" t="s">
        <v>380</v>
      </c>
      <c r="E42" s="270"/>
      <c r="F42" s="270"/>
      <c r="G42" s="270"/>
      <c r="H42" s="270"/>
      <c r="I42" s="270"/>
      <c r="J42" s="270"/>
      <c r="K42" s="270"/>
    </row>
    <row r="43">
      <c r="A43" s="270"/>
      <c r="B43" s="274">
        <v>1.0</v>
      </c>
      <c r="C43" s="275" t="s">
        <v>370</v>
      </c>
      <c r="D43" s="276" t="s">
        <v>381</v>
      </c>
      <c r="E43" s="270"/>
      <c r="F43" s="270"/>
      <c r="G43" s="270"/>
      <c r="H43" s="270"/>
      <c r="I43" s="270"/>
      <c r="J43" s="270"/>
      <c r="K43" s="270"/>
    </row>
    <row r="44">
      <c r="A44" s="270"/>
      <c r="B44" s="277"/>
      <c r="C44" s="278"/>
      <c r="D44" s="279"/>
      <c r="E44" s="270"/>
      <c r="F44" s="270"/>
      <c r="G44" s="270"/>
      <c r="H44" s="270"/>
      <c r="I44" s="270"/>
      <c r="J44" s="270"/>
      <c r="K44" s="270"/>
    </row>
    <row r="45">
      <c r="A45" s="270"/>
      <c r="B45" s="277"/>
      <c r="C45" s="278"/>
      <c r="D45" s="279"/>
      <c r="E45" s="270"/>
      <c r="F45" s="270"/>
      <c r="G45" s="270"/>
      <c r="H45" s="270"/>
      <c r="I45" s="270"/>
      <c r="J45" s="270"/>
      <c r="K45" s="270"/>
    </row>
    <row r="46">
      <c r="A46" s="270"/>
      <c r="B46" s="277"/>
      <c r="C46" s="278"/>
      <c r="D46" s="279"/>
      <c r="E46" s="270"/>
      <c r="F46" s="270"/>
      <c r="G46" s="270"/>
      <c r="H46" s="270"/>
      <c r="I46" s="270"/>
      <c r="J46" s="270"/>
      <c r="K46" s="270"/>
    </row>
    <row r="47">
      <c r="A47" s="270"/>
      <c r="B47" s="277"/>
      <c r="C47" s="278"/>
      <c r="D47" s="279"/>
      <c r="E47" s="270"/>
      <c r="F47" s="270"/>
      <c r="G47" s="270"/>
      <c r="H47" s="270"/>
      <c r="I47" s="270"/>
      <c r="J47" s="270"/>
      <c r="K47" s="270"/>
    </row>
    <row r="48">
      <c r="A48" s="270"/>
      <c r="B48" s="277"/>
      <c r="C48" s="278"/>
      <c r="D48" s="279"/>
      <c r="E48" s="270"/>
      <c r="F48" s="270"/>
      <c r="G48" s="270"/>
      <c r="H48" s="270"/>
      <c r="I48" s="270"/>
      <c r="J48" s="270"/>
      <c r="K48" s="270"/>
    </row>
    <row r="49">
      <c r="A49" s="270"/>
      <c r="B49" s="277"/>
      <c r="C49" s="278"/>
      <c r="D49" s="279"/>
      <c r="E49" s="270"/>
      <c r="F49" s="270"/>
      <c r="G49" s="270"/>
      <c r="H49" s="270"/>
      <c r="I49" s="270"/>
      <c r="J49" s="270"/>
      <c r="K49" s="270"/>
    </row>
    <row r="50">
      <c r="A50" s="270"/>
      <c r="B50" s="277"/>
      <c r="C50" s="278"/>
      <c r="D50" s="279"/>
      <c r="E50" s="270"/>
      <c r="F50" s="270"/>
      <c r="G50" s="270"/>
      <c r="H50" s="270"/>
      <c r="I50" s="270"/>
      <c r="J50" s="270"/>
      <c r="K50" s="270"/>
    </row>
    <row r="51">
      <c r="A51" s="270"/>
      <c r="B51" s="277"/>
      <c r="C51" s="278"/>
      <c r="D51" s="279"/>
      <c r="E51" s="270"/>
      <c r="F51" s="270"/>
      <c r="G51" s="270"/>
      <c r="H51" s="270"/>
      <c r="I51" s="270"/>
      <c r="J51" s="270"/>
      <c r="K51" s="270"/>
    </row>
    <row r="52">
      <c r="A52" s="270"/>
      <c r="B52" s="277"/>
      <c r="C52" s="278"/>
      <c r="D52" s="279"/>
      <c r="E52" s="270"/>
      <c r="F52" s="270"/>
      <c r="G52" s="270"/>
      <c r="H52" s="270"/>
      <c r="I52" s="270"/>
      <c r="J52" s="270"/>
      <c r="K52" s="270"/>
    </row>
    <row r="53">
      <c r="A53" s="270"/>
      <c r="B53" s="277"/>
      <c r="C53" s="278"/>
      <c r="D53" s="279"/>
      <c r="E53" s="270"/>
      <c r="F53" s="270"/>
      <c r="G53" s="270"/>
      <c r="H53" s="270"/>
      <c r="I53" s="270"/>
      <c r="J53" s="270"/>
      <c r="K53" s="270"/>
    </row>
    <row r="54">
      <c r="A54" s="270"/>
      <c r="B54" s="277"/>
      <c r="C54" s="278"/>
      <c r="D54" s="279"/>
      <c r="E54" s="270"/>
      <c r="F54" s="270"/>
      <c r="G54" s="270"/>
      <c r="H54" s="270"/>
      <c r="I54" s="270"/>
      <c r="J54" s="270"/>
      <c r="K54" s="270"/>
    </row>
    <row r="55">
      <c r="A55" s="270"/>
      <c r="B55" s="277"/>
      <c r="C55" s="278"/>
      <c r="D55" s="279"/>
      <c r="E55" s="270"/>
      <c r="F55" s="270"/>
      <c r="G55" s="270"/>
      <c r="H55" s="270"/>
      <c r="I55" s="270"/>
      <c r="J55" s="270"/>
      <c r="K55" s="270"/>
    </row>
    <row r="56">
      <c r="A56" s="270"/>
      <c r="B56" s="277"/>
      <c r="C56" s="278"/>
      <c r="D56" s="279"/>
      <c r="E56" s="270"/>
      <c r="F56" s="270"/>
      <c r="G56" s="270"/>
      <c r="H56" s="270"/>
      <c r="I56" s="270"/>
      <c r="J56" s="270"/>
      <c r="K56" s="270"/>
    </row>
    <row r="57">
      <c r="A57" s="270"/>
      <c r="B57" s="277"/>
      <c r="C57" s="278"/>
      <c r="D57" s="279"/>
      <c r="E57" s="270"/>
      <c r="F57" s="270"/>
      <c r="G57" s="270"/>
      <c r="H57" s="270"/>
      <c r="I57" s="270"/>
      <c r="J57" s="270"/>
      <c r="K57" s="270"/>
    </row>
    <row r="58">
      <c r="A58" s="270"/>
      <c r="B58" s="277"/>
      <c r="C58" s="278"/>
      <c r="D58" s="279"/>
      <c r="E58" s="270"/>
      <c r="F58" s="270"/>
      <c r="G58" s="270"/>
      <c r="H58" s="270"/>
      <c r="I58" s="270"/>
      <c r="J58" s="270"/>
      <c r="K58" s="270"/>
    </row>
    <row r="59">
      <c r="A59" s="270"/>
      <c r="B59" s="277"/>
      <c r="C59" s="278"/>
      <c r="D59" s="279"/>
      <c r="E59" s="270"/>
      <c r="F59" s="270"/>
      <c r="G59" s="270"/>
      <c r="H59" s="270"/>
      <c r="I59" s="270"/>
      <c r="J59" s="270"/>
      <c r="K59" s="270"/>
    </row>
    <row r="60">
      <c r="A60" s="270"/>
      <c r="B60" s="277"/>
      <c r="C60" s="278"/>
      <c r="D60" s="279"/>
      <c r="E60" s="270"/>
      <c r="F60" s="270"/>
      <c r="G60" s="270"/>
      <c r="H60" s="270"/>
      <c r="I60" s="270"/>
      <c r="J60" s="270"/>
      <c r="K60" s="270"/>
    </row>
    <row r="61">
      <c r="A61" s="270"/>
      <c r="B61" s="277"/>
      <c r="C61" s="278"/>
      <c r="D61" s="279"/>
      <c r="E61" s="270"/>
      <c r="F61" s="270"/>
      <c r="G61" s="270"/>
      <c r="H61" s="270"/>
      <c r="I61" s="270"/>
      <c r="J61" s="270"/>
      <c r="K61" s="270"/>
    </row>
    <row r="62">
      <c r="A62" s="270"/>
      <c r="B62" s="277"/>
      <c r="C62" s="278"/>
      <c r="D62" s="279"/>
      <c r="E62" s="270"/>
      <c r="F62" s="270"/>
      <c r="G62" s="270"/>
      <c r="H62" s="270"/>
      <c r="I62" s="270"/>
      <c r="J62" s="270"/>
      <c r="K62" s="270"/>
    </row>
    <row r="63">
      <c r="A63" s="270"/>
      <c r="B63" s="277"/>
      <c r="C63" s="278"/>
      <c r="D63" s="279"/>
      <c r="E63" s="270"/>
      <c r="F63" s="270"/>
      <c r="G63" s="270"/>
      <c r="H63" s="270"/>
      <c r="I63" s="270"/>
      <c r="J63" s="270"/>
      <c r="K63" s="270"/>
    </row>
    <row r="64">
      <c r="A64" s="270"/>
      <c r="B64" s="277"/>
      <c r="C64" s="278"/>
      <c r="D64" s="279"/>
      <c r="E64" s="270"/>
      <c r="F64" s="270"/>
      <c r="G64" s="270"/>
      <c r="H64" s="270"/>
      <c r="I64" s="270"/>
      <c r="J64" s="270"/>
      <c r="K64" s="270"/>
    </row>
  </sheetData>
  <drawing r:id="rId1"/>
</worksheet>
</file>